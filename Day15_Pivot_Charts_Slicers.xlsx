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530c6ebe1e7ac33e/Desktop/Excel/"/>
    </mc:Choice>
  </mc:AlternateContent>
  <xr:revisionPtr revIDLastSave="5" documentId="11_9CAA5F3DB349ACFD5801F715AC64D6B31799B770" xr6:coauthVersionLast="47" xr6:coauthVersionMax="47" xr10:uidLastSave="{D00E7FC7-1535-41C7-BEB0-050A8D758128}"/>
  <bookViews>
    <workbookView xWindow="-108" yWindow="-108" windowWidth="23256" windowHeight="12456" tabRatio="500" activeTab="3" xr2:uid="{00000000-000D-0000-FFFF-FFFF00000000}"/>
  </bookViews>
  <sheets>
    <sheet name="Sheet2" sheetId="7" r:id="rId1"/>
    <sheet name="Raw Data (Pivot Source)" sheetId="1" r:id="rId2"/>
    <sheet name="Pivot Table Workshop" sheetId="2" r:id="rId3"/>
    <sheet name="Practice Area (Your Work)" sheetId="3" r:id="rId4"/>
    <sheet name="Concept Notes" sheetId="4" r:id="rId5"/>
    <sheet name="Scoring Guide" sheetId="5" r:id="rId6"/>
  </sheets>
  <definedNames>
    <definedName name="Slicer_Category">#N/A</definedName>
    <definedName name="Slicer_Region">#N/A</definedName>
  </definedNames>
  <calcPr calcId="0" iterateDelta="1E-4"/>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sharedStrings.xml><?xml version="1.0" encoding="utf-8"?>
<sst xmlns="http://schemas.openxmlformats.org/spreadsheetml/2006/main" count="836" uniqueCount="398">
  <si>
    <t>DAY 15 — PIVOT CHARTS &amp; SLICERS  |  Raw Transaction Data (Pivot Source)</t>
  </si>
  <si>
    <t>120 transactions · Apr 2024 – Mar 2025 · This is your ONLY data source — create ALL pivot tables from this sheet</t>
  </si>
  <si>
    <t>Order ID</t>
  </si>
  <si>
    <t>Order Date</t>
  </si>
  <si>
    <t>Region</t>
  </si>
  <si>
    <t>Category</t>
  </si>
  <si>
    <t>Product</t>
  </si>
  <si>
    <t>Revenue (₹)</t>
  </si>
  <si>
    <t>Cost (₹)</t>
  </si>
  <si>
    <t>Units</t>
  </si>
  <si>
    <t>Margin %</t>
  </si>
  <si>
    <t>ORD-001</t>
  </si>
  <si>
    <t>2024-04-01</t>
  </si>
  <si>
    <t>North</t>
  </si>
  <si>
    <t>Electronics</t>
  </si>
  <si>
    <t>Smart TV 55"</t>
  </si>
  <si>
    <t>ORD-002</t>
  </si>
  <si>
    <t>2024-05-02</t>
  </si>
  <si>
    <t>South</t>
  </si>
  <si>
    <t>Appliances</t>
  </si>
  <si>
    <t>Washing Machine</t>
  </si>
  <si>
    <t>ORD-003</t>
  </si>
  <si>
    <t>2024-06-03</t>
  </si>
  <si>
    <t>East</t>
  </si>
  <si>
    <t>Footwear</t>
  </si>
  <si>
    <t>Hiking Boots</t>
  </si>
  <si>
    <t>ORD-004</t>
  </si>
  <si>
    <t>2024-07-04</t>
  </si>
  <si>
    <t>West</t>
  </si>
  <si>
    <t>Fitness</t>
  </si>
  <si>
    <t>Yoga Mat</t>
  </si>
  <si>
    <t>ORD-005</t>
  </si>
  <si>
    <t>2024-08-05</t>
  </si>
  <si>
    <t>Nutrition</t>
  </si>
  <si>
    <t>Multivitamin</t>
  </si>
  <si>
    <t>ORD-006</t>
  </si>
  <si>
    <t>2024-09-06</t>
  </si>
  <si>
    <t>Furniture</t>
  </si>
  <si>
    <t>Bookshelf</t>
  </si>
  <si>
    <t>ORD-007</t>
  </si>
  <si>
    <t>2024-10-07</t>
  </si>
  <si>
    <t>ORD-008</t>
  </si>
  <si>
    <t>2024-11-08</t>
  </si>
  <si>
    <t>ORD-009</t>
  </si>
  <si>
    <t>2024-12-09</t>
  </si>
  <si>
    <t>ORD-010</t>
  </si>
  <si>
    <t>2025-01-10</t>
  </si>
  <si>
    <t>ORD-011</t>
  </si>
  <si>
    <t>2025-02-11</t>
  </si>
  <si>
    <t>ORD-012</t>
  </si>
  <si>
    <t>2025-03-12</t>
  </si>
  <si>
    <t>ORD-013</t>
  </si>
  <si>
    <t>2024-04-13</t>
  </si>
  <si>
    <t>ORD-014</t>
  </si>
  <si>
    <t>2024-05-14</t>
  </si>
  <si>
    <t>ORD-015</t>
  </si>
  <si>
    <t>2024-06-15</t>
  </si>
  <si>
    <t>ORD-016</t>
  </si>
  <si>
    <t>2024-07-16</t>
  </si>
  <si>
    <t>ORD-017</t>
  </si>
  <si>
    <t>2024-08-17</t>
  </si>
  <si>
    <t>ORD-018</t>
  </si>
  <si>
    <t>2024-09-18</t>
  </si>
  <si>
    <t>ORD-019</t>
  </si>
  <si>
    <t>2024-10-19</t>
  </si>
  <si>
    <t>ORD-020</t>
  </si>
  <si>
    <t>2024-11-20</t>
  </si>
  <si>
    <t>ORD-021</t>
  </si>
  <si>
    <t>2024-12-21</t>
  </si>
  <si>
    <t>ORD-022</t>
  </si>
  <si>
    <t>2025-01-22</t>
  </si>
  <si>
    <t>ORD-023</t>
  </si>
  <si>
    <t>2025-02-23</t>
  </si>
  <si>
    <t>ORD-024</t>
  </si>
  <si>
    <t>2025-03-24</t>
  </si>
  <si>
    <t>ORD-025</t>
  </si>
  <si>
    <t>2024-04-25</t>
  </si>
  <si>
    <t>ORD-026</t>
  </si>
  <si>
    <t>2024-05-26</t>
  </si>
  <si>
    <t>ORD-027</t>
  </si>
  <si>
    <t>2024-06-27</t>
  </si>
  <si>
    <t>ORD-028</t>
  </si>
  <si>
    <t>2024-07-28</t>
  </si>
  <si>
    <t>ORD-029</t>
  </si>
  <si>
    <t>2024-08-01</t>
  </si>
  <si>
    <t>ORD-030</t>
  </si>
  <si>
    <t>2024-09-02</t>
  </si>
  <si>
    <t>ORD-031</t>
  </si>
  <si>
    <t>2024-10-03</t>
  </si>
  <si>
    <t>ORD-032</t>
  </si>
  <si>
    <t>2024-11-04</t>
  </si>
  <si>
    <t>ORD-033</t>
  </si>
  <si>
    <t>2024-12-05</t>
  </si>
  <si>
    <t>ORD-034</t>
  </si>
  <si>
    <t>2025-01-06</t>
  </si>
  <si>
    <t>ORD-035</t>
  </si>
  <si>
    <t>2025-02-07</t>
  </si>
  <si>
    <t>ORD-036</t>
  </si>
  <si>
    <t>2025-03-08</t>
  </si>
  <si>
    <t>ORD-037</t>
  </si>
  <si>
    <t>2024-04-09</t>
  </si>
  <si>
    <t>ORD-038</t>
  </si>
  <si>
    <t>2024-05-10</t>
  </si>
  <si>
    <t>ORD-039</t>
  </si>
  <si>
    <t>2024-06-11</t>
  </si>
  <si>
    <t>ORD-040</t>
  </si>
  <si>
    <t>2024-07-12</t>
  </si>
  <si>
    <t>ORD-041</t>
  </si>
  <si>
    <t>2024-08-13</t>
  </si>
  <si>
    <t>ORD-042</t>
  </si>
  <si>
    <t>2024-09-14</t>
  </si>
  <si>
    <t>ORD-043</t>
  </si>
  <si>
    <t>2024-10-15</t>
  </si>
  <si>
    <t>ORD-044</t>
  </si>
  <si>
    <t>2024-11-16</t>
  </si>
  <si>
    <t>ORD-045</t>
  </si>
  <si>
    <t>2024-12-17</t>
  </si>
  <si>
    <t>ORD-046</t>
  </si>
  <si>
    <t>2025-01-18</t>
  </si>
  <si>
    <t>ORD-047</t>
  </si>
  <si>
    <t>2025-02-19</t>
  </si>
  <si>
    <t>ORD-048</t>
  </si>
  <si>
    <t>2025-03-20</t>
  </si>
  <si>
    <t>ORD-049</t>
  </si>
  <si>
    <t>2024-04-21</t>
  </si>
  <si>
    <t>ORD-050</t>
  </si>
  <si>
    <t>2024-05-22</t>
  </si>
  <si>
    <t>ORD-051</t>
  </si>
  <si>
    <t>2024-06-23</t>
  </si>
  <si>
    <t>ORD-052</t>
  </si>
  <si>
    <t>2024-07-24</t>
  </si>
  <si>
    <t>ORD-053</t>
  </si>
  <si>
    <t>2024-08-25</t>
  </si>
  <si>
    <t>ORD-054</t>
  </si>
  <si>
    <t>2024-09-26</t>
  </si>
  <si>
    <t>ORD-055</t>
  </si>
  <si>
    <t>2024-10-27</t>
  </si>
  <si>
    <t>ORD-056</t>
  </si>
  <si>
    <t>2024-11-28</t>
  </si>
  <si>
    <t>ORD-057</t>
  </si>
  <si>
    <t>2024-12-01</t>
  </si>
  <si>
    <t>ORD-058</t>
  </si>
  <si>
    <t>2025-01-02</t>
  </si>
  <si>
    <t>ORD-059</t>
  </si>
  <si>
    <t>2025-02-03</t>
  </si>
  <si>
    <t>ORD-060</t>
  </si>
  <si>
    <t>2025-03-04</t>
  </si>
  <si>
    <t>ORD-061</t>
  </si>
  <si>
    <t>2024-04-05</t>
  </si>
  <si>
    <t>ORD-062</t>
  </si>
  <si>
    <t>2024-05-06</t>
  </si>
  <si>
    <t>ORD-063</t>
  </si>
  <si>
    <t>2024-06-07</t>
  </si>
  <si>
    <t>ORD-064</t>
  </si>
  <si>
    <t>2024-07-08</t>
  </si>
  <si>
    <t>ORD-065</t>
  </si>
  <si>
    <t>2024-08-09</t>
  </si>
  <si>
    <t>ORD-066</t>
  </si>
  <si>
    <t>2024-09-10</t>
  </si>
  <si>
    <t>ORD-067</t>
  </si>
  <si>
    <t>2024-10-11</t>
  </si>
  <si>
    <t>ORD-068</t>
  </si>
  <si>
    <t>2024-11-12</t>
  </si>
  <si>
    <t>ORD-069</t>
  </si>
  <si>
    <t>2024-12-13</t>
  </si>
  <si>
    <t>ORD-070</t>
  </si>
  <si>
    <t>2025-01-14</t>
  </si>
  <si>
    <t>ORD-071</t>
  </si>
  <si>
    <t>2025-02-15</t>
  </si>
  <si>
    <t>ORD-072</t>
  </si>
  <si>
    <t>2025-03-16</t>
  </si>
  <si>
    <t>ORD-073</t>
  </si>
  <si>
    <t>2024-04-17</t>
  </si>
  <si>
    <t>ORD-074</t>
  </si>
  <si>
    <t>2024-05-18</t>
  </si>
  <si>
    <t>ORD-075</t>
  </si>
  <si>
    <t>2024-06-19</t>
  </si>
  <si>
    <t>ORD-076</t>
  </si>
  <si>
    <t>2024-07-20</t>
  </si>
  <si>
    <t>ORD-077</t>
  </si>
  <si>
    <t>2024-08-21</t>
  </si>
  <si>
    <t>ORD-078</t>
  </si>
  <si>
    <t>2024-09-22</t>
  </si>
  <si>
    <t>ORD-079</t>
  </si>
  <si>
    <t>2024-10-23</t>
  </si>
  <si>
    <t>ORD-080</t>
  </si>
  <si>
    <t>2024-11-24</t>
  </si>
  <si>
    <t>ORD-081</t>
  </si>
  <si>
    <t>2024-12-25</t>
  </si>
  <si>
    <t>ORD-082</t>
  </si>
  <si>
    <t>2025-01-26</t>
  </si>
  <si>
    <t>ORD-083</t>
  </si>
  <si>
    <t>2025-02-27</t>
  </si>
  <si>
    <t>ORD-084</t>
  </si>
  <si>
    <t>2025-03-28</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</si>
  <si>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</si>
  <si>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</si>
  <si>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</si>
  <si>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</si>
  <si>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</si>
  <si>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</si>
  <si>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</si>
  <si>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</si>
  <si>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</si>
  <si>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</si>
  <si>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</si>
  <si>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</si>
  <si>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</si>
  <si>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</si>
  <si>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</si>
  <si>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</si>
  <si>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</si>
  <si>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</si>
  <si>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</si>
  <si>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</si>
  <si>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</si>
  <si>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</si>
  <si>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</si>
  <si>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</si>
  <si>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</si>
  <si>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</si>
  <si>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</si>
  <si>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</si>
  <si>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</si>
  <si>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</si>
  <si>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</si>
  <si>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</si>
  <si>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</si>
  <si>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</si>
  <si>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</si>
  <si>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</si>
  <si>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DAY 15 — PIVOT TABLE WORKSHOP  |  What Pivots Do &amp; How to Build Them</t>
  </si>
  <si>
    <t>A Pivot Table summarises 120 rows into a meaningful table in 4 clicks. Slicers make it interactive.</t>
  </si>
  <si>
    <t>WHAT IS A PIVOT TABLE?</t>
  </si>
  <si>
    <t>Problem</t>
  </si>
  <si>
    <t>You have 120 rows of transactions. A manager asks 'What is total revenue by Region?' You can't read 120 rows — you need a summary.</t>
  </si>
  <si>
    <t>Solution</t>
  </si>
  <si>
    <t>Pivot Table: drag 'Region' to Rows, 'Revenue' to Values (Sum). Excel summarises all 120 rows into 4 region totals instantly.</t>
  </si>
  <si>
    <t>4 zones</t>
  </si>
  <si>
    <t>ROWS: what you want to group by (Region, Category, Month). COLUMNS: optional second grouping. VALUES: what you want to calculate (Sum, Count, Avg). FILTERS: optional slice (show only North region).</t>
  </si>
  <si>
    <t>Pivot Chart</t>
  </si>
  <si>
    <t>A chart linked directly to a pivot table. When you change the pivot (filter, sort), the chart updates automatically.</t>
  </si>
  <si>
    <t>Slicer</t>
  </si>
  <si>
    <t>A visual filter button panel. Click 'North' on a Region slicer → the pivot table AND pivot chart both filter to North only. No formula needed.</t>
  </si>
  <si>
    <t>HOW TO BUILD A PIVOT TABLE + PIVOT CHART + SLICER</t>
  </si>
  <si>
    <t>PIVOT TABLE
Step 1</t>
  </si>
  <si>
    <t>Click any cell in the Raw Data sheet (A4:I124). Insert → PivotTable → 'New Worksheet'. Click OK.</t>
  </si>
  <si>
    <t>PIVOT TABLE
Step 2</t>
  </si>
  <si>
    <t>In the PivotTable Fields panel: drag 'Region' to ROWS. Drag 'Revenue (₹)' to VALUES. You instantly see total revenue by region.</t>
  </si>
  <si>
    <t>PIVOT TABLE
Step 3</t>
  </si>
  <si>
    <t>Drag 'Category' to COLUMNS to get a Region × Category revenue matrix. This is a 2D pivot — rows and columns both group the data.</t>
  </si>
  <si>
    <t>PIVOT TABLE
Step 4</t>
  </si>
  <si>
    <t>Right-click any value → Number Format → #,##0 to format as currency. Right-click the Grand Total row → Remove Grand Total if you don't need it.</t>
  </si>
  <si>
    <t>PIVOT CHART
Step 5</t>
  </si>
  <si>
    <t>Click anywhere inside your pivot table. PivotTable Analyze tab → PivotChart → Clustered Column → OK. The chart is now linked to the pivot — it updates when the pivot changes.</t>
  </si>
  <si>
    <t>PIVOT CHART
Step 6</t>
  </si>
  <si>
    <t>Move the chart next to the pivot. Resize. Add a title. Remove the 'Field Buttons' (right-click chart → Hide All Field Buttons) — cleaner look.</t>
  </si>
  <si>
    <t>SLICER
Step 7</t>
  </si>
  <si>
    <t>Click inside the pivot table. PivotTable Analyze → Insert Slicer → tick 'Region' → OK. A Region slicer appears.</t>
  </si>
  <si>
    <t>SLICER
Step 8</t>
  </si>
  <si>
    <t>Click 'North' on the slicer → pivot table + pivot chart both filter to North only. Hold Ctrl to select multiple regions. Click the clear button (top-right of slicer) to reset.</t>
  </si>
  <si>
    <t>SLICER
Step 9</t>
  </si>
  <si>
    <t>Add a second slicer for 'Category'. Now you can filter by Region AND Category simultaneously — this is what makes dashboards interactive.</t>
  </si>
  <si>
    <t>PRO TIP
Slicer style</t>
  </si>
  <si>
    <t>Right-click slicer → Slicer Settings → change the slicer name displayed. Slicer tab → Slicer Styles → pick a style matching your dashboard colour scheme.</t>
  </si>
  <si>
    <t>EXPECTED PIVOT OUTPUT — Revenue by Region (what your pivot should produce)</t>
  </si>
  <si>
    <t>Total Revenue (₹)</t>
  </si>
  <si>
    <t>% of Total</t>
  </si>
  <si>
    <t>Grand Total</t>
  </si>
  <si>
    <t>EXPECTED PIVOT OUTPUT — Revenue by Category</t>
  </si>
  <si>
    <t>DAY 15 — PRACTICE AREA  |  Build 3 Pivot Tables + 2 Pivot Charts + 2 Slicers</t>
  </si>
  <si>
    <t>Source: Raw Data (Pivot Source) sheet, cells A4:I124  |  All pivots built from this single flat table</t>
  </si>
  <si>
    <t>TASK 1 ★  —  PIVOT TABLE: Revenue by Region</t>
  </si>
  <si>
    <t>Config: Rows: Region | Values: Sum of Revenue (₹)</t>
  </si>
  <si>
    <t>Action: Insert a Pivot Table here (below this card). Then add a Region SLICER.</t>
  </si>
  <si>
    <t>← Build your pivot table here</t>
  </si>
  <si>
    <t>TASK 2 ★★  —  PIVOT TABLE + CHART: Revenue by Category</t>
  </si>
  <si>
    <t>Config: Rows: Category | Values: Sum of Revenue + Count of Orders</t>
  </si>
  <si>
    <t>Action: Build pivot table, then insert a Pivot Chart (Clustered Bar). Add a Category SLICER.</t>
  </si>
  <si>
    <t>TASK 3 ★★★  —  PIVOT TABLE: Region × Category Matrix</t>
  </si>
  <si>
    <t>Config: Rows: Region | Columns: Category | Values: Sum of Revenue</t>
  </si>
  <si>
    <t>Action: This is a 2D pivot. Build it, then answer: which Region+Category combination is top?</t>
  </si>
  <si>
    <t>INSIGHTS — After building all 3 pivots, write 4 business observations</t>
  </si>
  <si>
    <t>DAY 15 — CONCEPT NOTES  |  Pivot Tables, Pivot Charts &amp; Slicers</t>
  </si>
  <si>
    <t>PIVOT TABLE vs SUMIF vs MANUAL TABLE — When to use what</t>
  </si>
  <si>
    <t>Method</t>
  </si>
  <si>
    <t>Use When</t>
  </si>
  <si>
    <t>Limitation</t>
  </si>
  <si>
    <t>Speed</t>
  </si>
  <si>
    <t>Pivot Table</t>
  </si>
  <si>
    <t>Exploring data, building flexible summaries, making interactive dashboards</t>
  </si>
  <si>
    <t>Not dynamic with new rows unless you refresh (Data → Refresh All)</t>
  </si>
  <si>
    <t>★★★★★  Fastest</t>
  </si>
  <si>
    <t>SUMIF / SUMIFS</t>
  </si>
  <si>
    <t>Single fixed calculation inside a formula — e.g. sum only North region</t>
  </si>
  <si>
    <t>Static — doesn't auto-update layout when new categories appear</t>
  </si>
  <si>
    <t>★★★  Medium</t>
  </si>
  <si>
    <t>Manual Table</t>
  </si>
  <si>
    <t>Small fixed datasets you want full control over (formatting, layout)</t>
  </si>
  <si>
    <t>Completely manual — any data change requires manual update</t>
  </si>
  <si>
    <t>★  Slowest</t>
  </si>
  <si>
    <t>Power Query</t>
  </si>
  <si>
    <t>Complex transformations before summarising — merging multiple data sources</t>
  </si>
  <si>
    <t>Steeper learning curve — Month 2 topic</t>
  </si>
  <si>
    <t>★★★★  Fast (after setup)</t>
  </si>
  <si>
    <t>COMMON PIVOT MISTAKES → FIXES</t>
  </si>
  <si>
    <t>MISTAKE</t>
  </si>
  <si>
    <t>WHY IT FAILS</t>
  </si>
  <si>
    <t>FIX</t>
  </si>
  <si>
    <t>Data has blank rows</t>
  </si>
  <si>
    <t>Pivot stops at the first blank row — you get an incomplete summary</t>
  </si>
  <si>
    <t>Remove all blank rows in raw data before creating pivot</t>
  </si>
  <si>
    <t>Column headers are blank or duplicated</t>
  </si>
  <si>
    <t>Pivot fields panel shows 'Column1', 'Column2' — confusing and unpredictable</t>
  </si>
  <si>
    <t>Every column must have a unique, non-blank header in row 1 of your table</t>
  </si>
  <si>
    <t>Pivot not refreshing after data change</t>
  </si>
  <si>
    <t>You add 10 new rows — pivot still shows old totals</t>
  </si>
  <si>
    <t>Right-click pivot → Refresh, OR Data tab → Refresh All. Make it a habit.</t>
  </si>
  <si>
    <t>Pivot source range too small</t>
  </si>
  <si>
    <t>New rows added below the original range are ignored</t>
  </si>
  <si>
    <t>Convert raw data to an Excel Table first (Ctrl+T) — pivot auto-expands</t>
  </si>
  <si>
    <t>Values showing Count instead of Sum</t>
  </si>
  <si>
    <t>If any revenue cell is blank or text, Excel defaults to Count instead of Sum</t>
  </si>
  <si>
    <t>Click value field → Value Field Settings → change to Sum</t>
  </si>
  <si>
    <t>Slicer not connected to chart</t>
  </si>
  <si>
    <t>Clicking slicer filters the pivot but the chart doesn't update</t>
  </si>
  <si>
    <t>Right-click slicer → Report Connections → tick all pivot tables you want connected</t>
  </si>
  <si>
    <t>SLICER QUICK REFERENCE</t>
  </si>
  <si>
    <t>Action</t>
  </si>
  <si>
    <t>How to do it</t>
  </si>
  <si>
    <t>Insert a slicer</t>
  </si>
  <si>
    <t>Click inside pivot → PivotTable Analyze → Insert Slicer → choose field → OK</t>
  </si>
  <si>
    <t>Connect slicer to 2 pivots</t>
  </si>
  <si>
    <t>Right-click slicer → Report Connections → tick both pivot table names</t>
  </si>
  <si>
    <t>Multi-select on slicer</t>
  </si>
  <si>
    <t>Hold Ctrl and click multiple buttons, OR click the multi-select icon (top-right of slicer)</t>
  </si>
  <si>
    <t>Clear slicer filter</t>
  </si>
  <si>
    <t>Click the X / clear button in the top-right corner of the slicer panel</t>
  </si>
  <si>
    <t>Resize + style slicer</t>
  </si>
  <si>
    <t>Drag corners to resize. Slicer tab → Slicer Styles → pick a matching style</t>
  </si>
  <si>
    <t>Remove a slicer</t>
  </si>
  <si>
    <t>Click the slicer → press Delete key</t>
  </si>
  <si>
    <t>DAY 15 SCORING GUIDE  |  Total: 60 Points</t>
  </si>
  <si>
    <t>Task</t>
  </si>
  <si>
    <t>Skill</t>
  </si>
  <si>
    <t>Success Criteria</t>
  </si>
  <si>
    <t>Pts</t>
  </si>
  <si>
    <t>Task 1 — Pivot: Revenue by Region</t>
  </si>
  <si>
    <t>Pivot table built from Raw Data. Rows=Region, Values=Sum of Revenue. All 4 regions present. Grand Total row. Region slicer inserted and working.</t>
  </si>
  <si>
    <t>14</t>
  </si>
  <si>
    <t>Task 2 — Pivot + Chart: Revenue by Category</t>
  </si>
  <si>
    <t>Pivot table with Rows=Category, Values=Sum of Revenue + Count of Orders. Pivot Chart (Clustered Bar) linked to this pivot. Category slicer inserted. Chart title present. Field buttons hidden.</t>
  </si>
  <si>
    <t>18</t>
  </si>
  <si>
    <t>Task 3 — Region × Category Matrix</t>
  </si>
  <si>
    <t>2D Pivot</t>
  </si>
  <si>
    <t>Rows=Region, Columns=Category, Values=Sum of Revenue. All 4×6 cells populated. Correctly identifies top Region+Category combination.</t>
  </si>
  <si>
    <t>4 Business Insights</t>
  </si>
  <si>
    <t>Communication</t>
  </si>
  <si>
    <t>All 4 questions answered with specific numbers from the pivot output. Q4 includes a genuine business recommendation (not just observation).</t>
  </si>
  <si>
    <t>10</t>
  </si>
  <si>
    <t>Slicer connected to 2 pivots</t>
  </si>
  <si>
    <t>At least one slicer connected to both Task 1 and Task 2 pivots (Report Connections). Filtering one filters both.</t>
  </si>
  <si>
    <t>4</t>
  </si>
  <si>
    <t>BONUS: Pivot table style</t>
  </si>
  <si>
    <t>Polish</t>
  </si>
  <si>
    <t>Pivot tables formatted using a PivotTable Style (not default). Headers bold. Number format applied to revenue values.</t>
  </si>
  <si>
    <t>+3 Bonus</t>
  </si>
  <si>
    <t>TOTAL (excl. bonus)</t>
  </si>
  <si>
    <t>60</t>
  </si>
  <si>
    <t>GRADING BANDS</t>
  </si>
  <si>
    <t>55–60+</t>
  </si>
  <si>
    <t>Distinction</t>
  </si>
  <si>
    <t>Ready for Day 16 — Week 4 Mini-Project (full interactive dashboard).</t>
  </si>
  <si>
    <t>46–54</t>
  </si>
  <si>
    <t>Pass</t>
  </si>
  <si>
    <t>Good work. Review 2D pivot and slicer connection before Day 16.</t>
  </si>
  <si>
    <t>33–45</t>
  </si>
  <si>
    <t>Needs Work</t>
  </si>
  <si>
    <t>Redo pivot chart and slicer steps. Resubmit before Day 16.</t>
  </si>
  <si>
    <t>0–32</t>
  </si>
  <si>
    <t>Re-attempt</t>
  </si>
  <si>
    <t>Re-read Workshop sheet fully — focus on the 9 steps.</t>
  </si>
  <si>
    <t>KEY TAKEAWAYS — DAY 15</t>
  </si>
  <si>
    <t>1. Pivot Tables are the fastest way to summarise data — 120 rows → 4 region totals in 4 clicks, no formulas.</t>
  </si>
  <si>
    <t>2. Pivot Chart = chart that auto-updates when the pivot changes. This is what separates dynamic dashboards from static ones.</t>
  </si>
  <si>
    <t>3. Slicers make your dashboard interactive — one click filters ALL connected pivots and charts simultaneously.</t>
  </si>
  <si>
    <t>4. The 2D pivot (Rows + Columns) is the most powerful layout — it shows every combination of two dimensions at once.</t>
  </si>
  <si>
    <t>5. Always convert raw data to an Excel Table (Ctrl+T) before creating a pivot — this ensures new rows are auto-included.</t>
  </si>
  <si>
    <t>6. Refresh matters — any pivot built on changed data MUST be refreshed. Right-click → Refresh or Data → Refresh All.</t>
  </si>
  <si>
    <t>INTERVIEW: 'How do you build an interactive dashboard in Excel?' → PivotTable from flat data → PivotChart → Slicers connected to all pivots. That's the full stack.</t>
  </si>
  <si>
    <t>Row Labels</t>
  </si>
  <si>
    <t>Sum of Revenue (₹)</t>
  </si>
  <si>
    <t>Column Labels</t>
  </si>
  <si>
    <t>The south region generates the highest revenue.It leads the second-highest region(west) by a very slim margin approx.(0.54%)</t>
  </si>
  <si>
    <t>The appliances category is the top revenue generator.It is a massive driver business, representing approximately 49.62%(nearly half) of total revenue.</t>
  </si>
  <si>
    <t>South and Appliances(Rs 1658300).This single cell is your main revenue driver contributing about 25% of company total sales.It shows appliances are highly popular in south.</t>
  </si>
  <si>
    <t>Expand Appliances sales to North and East regions to capture the huge missing market as there have currently zero sales.</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</si>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</sst>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 #,##0.00"/>
  </numFmts>
  <fonts count="42" x14ac:knownFonts="1">
    <font>
      <sz val="11"/>
      <color theme="1"/>
      <name val="Calibri"/>
      <family val="2"/>
      <charset val="1"/>
    </font>
    <font>
      <b/>
      <sz val="13"/>
      <color rgb="FFFFFFFF"/>
      <name val="Arial"/>
      <charset val="1"/>
    </font>
    <font>
      <i/>
      <sz val="10"/>
      <color rgb="FFFFFFFF"/>
      <name val="Arial"/>
      <charset val="1"/>
    </font>
    <font>
      <b/>
      <sz val="10"/>
      <color rgb="FFFFFFFF"/>
      <name val="Arial"/>
      <charset val="1"/>
    </font>
    <font>
      <b/>
      <sz val="9"/>
      <color rgb="FF000000"/>
      <name val="Arial"/>
      <charset val="1"/>
    </font>
    <font>
      <sz val="9"/>
      <color rgb="FF000000"/>
      <name val="Arial"/>
      <charset val="1"/>
    </font>
    <font>
      <b/>
      <sz val="10"/>
      <color rgb="FF0D5E5E"/>
      <name val="Arial"/>
      <charset val="1"/>
    </font>
    <font>
      <b/>
      <sz val="8"/>
      <color rgb="FF1A5C2A"/>
      <name val="Arial"/>
      <charset val="1"/>
    </font>
    <font>
      <b/>
      <sz val="8"/>
      <color rgb="FF1F3864"/>
      <name val="Arial"/>
      <charset val="1"/>
    </font>
    <font>
      <b/>
      <sz val="8"/>
      <color rgb="FF3D1265"/>
      <name val="Arial"/>
      <charset val="1"/>
    </font>
    <font>
      <b/>
      <sz val="8"/>
      <color rgb="FF7F6000"/>
      <name val="Arial"/>
      <charset val="1"/>
    </font>
    <font>
      <i/>
      <sz val="9"/>
      <color rgb="FF000000"/>
      <name val="Arial"/>
      <charset val="1"/>
    </font>
    <font>
      <b/>
      <sz val="10"/>
      <color rgb="FF000000"/>
      <name val="Arial"/>
      <charset val="1"/>
    </font>
    <font>
      <sz val="10"/>
      <color rgb="FF000000"/>
      <name val="Arial"/>
      <charset val="1"/>
    </font>
    <font>
      <b/>
      <sz val="14"/>
      <color rgb="FFFFFFFF"/>
      <name val="Arial"/>
      <charset val="1"/>
    </font>
    <font>
      <b/>
      <sz val="11"/>
      <color rgb="FF1A5C2A"/>
      <name val="Arial"/>
      <charset val="1"/>
    </font>
    <font>
      <b/>
      <sz val="9"/>
      <color rgb="FF1A5C2A"/>
      <name val="Arial"/>
      <charset val="1"/>
    </font>
    <font>
      <i/>
      <sz val="9"/>
      <color rgb="FF666666"/>
      <name val="Arial"/>
      <charset val="1"/>
    </font>
    <font>
      <i/>
      <sz val="9"/>
      <color rgb="FFAAAAAA"/>
      <name val="Arial"/>
      <charset val="1"/>
    </font>
    <font>
      <b/>
      <sz val="11"/>
      <color rgb="FF843C0C"/>
      <name val="Arial"/>
      <charset val="1"/>
    </font>
    <font>
      <b/>
      <sz val="9"/>
      <color rgb="FF843C0C"/>
      <name val="Arial"/>
      <charset val="1"/>
    </font>
    <font>
      <b/>
      <sz val="11"/>
      <color rgb="FF1F3864"/>
      <name val="Arial"/>
      <charset val="1"/>
    </font>
    <font>
      <b/>
      <sz val="9"/>
      <color rgb="FF1F3864"/>
      <name val="Arial"/>
      <charset val="1"/>
    </font>
    <font>
      <i/>
      <sz val="10"/>
      <color rgb="FF777777"/>
      <name val="Arial"/>
      <charset val="1"/>
    </font>
    <font>
      <b/>
      <sz val="10"/>
      <color rgb="FF1F3864"/>
      <name val="Arial"/>
      <charset val="1"/>
    </font>
    <font>
      <sz val="9"/>
      <color rgb="FF1A5C2A"/>
      <name val="Arial"/>
      <charset val="1"/>
    </font>
    <font>
      <i/>
      <sz val="9"/>
      <color rgb="FFC00000"/>
      <name val="Arial"/>
      <charset val="1"/>
    </font>
    <font>
      <sz val="9"/>
      <color rgb="FFC00000"/>
      <name val="Arial"/>
      <charset val="1"/>
    </font>
    <font>
      <b/>
      <sz val="9"/>
      <color rgb="FF3D1265"/>
      <name val="Arial"/>
      <charset val="1"/>
    </font>
    <font>
      <b/>
      <sz val="10"/>
      <color rgb="FF2E5EAA"/>
      <name val="Arial"/>
      <charset val="1"/>
    </font>
    <font>
      <b/>
      <sz val="10"/>
      <color rgb="FF7F6000"/>
      <name val="Arial"/>
      <charset val="1"/>
    </font>
    <font>
      <sz val="9"/>
      <color rgb="FF7F6000"/>
      <name val="Arial"/>
      <charset val="1"/>
    </font>
    <font>
      <b/>
      <sz val="11"/>
      <color rgb="FF7F6000"/>
      <name val="Arial"/>
      <charset val="1"/>
    </font>
    <font>
      <b/>
      <sz val="11"/>
      <color rgb="FFFFFFFF"/>
      <name val="Arial"/>
      <charset val="1"/>
    </font>
    <font>
      <b/>
      <sz val="10"/>
      <color rgb="FF1A5C2A"/>
      <name val="Arial"/>
      <charset val="1"/>
    </font>
    <font>
      <sz val="10"/>
      <color rgb="FF1A5C2A"/>
      <name val="Arial"/>
      <charset val="1"/>
    </font>
    <font>
      <sz val="10"/>
      <color rgb="FF2E5EAA"/>
      <name val="Arial"/>
      <charset val="1"/>
    </font>
    <font>
      <b/>
      <sz val="10"/>
      <color rgb="FF843C0C"/>
      <name val="Arial"/>
      <charset val="1"/>
    </font>
    <font>
      <sz val="10"/>
      <color rgb="FF843C0C"/>
      <name val="Arial"/>
      <charset val="1"/>
    </font>
    <font>
      <b/>
      <sz val="10"/>
      <color rgb="FFC00000"/>
      <name val="Arial"/>
      <charset val="1"/>
    </font>
    <font>
      <sz val="10"/>
      <color rgb="FFC00000"/>
      <name val="Arial"/>
      <charset val="1"/>
    </font>
    <font>
      <b/>
      <i/>
      <sz val="9"/>
      <color rgb="FF7F6000"/>
      <name val="Arial"/>
      <charset val="1"/>
    </font>
  </fonts>
  <fills count="20">
    <fill>
      <patternFill patternType="none"/>
    </fill>
    <fill>
      <patternFill patternType="gray125"/>
    </fill>
    <fill>
      <patternFill patternType="solid">
        <fgColor rgb="FF1F3864"/>
        <bgColor rgb="FF333333"/>
      </patternFill>
    </fill>
    <fill>
      <patternFill patternType="solid">
        <fgColor rgb="FF2E5EAA"/>
        <bgColor rgb="FF3366FF"/>
      </patternFill>
    </fill>
    <fill>
      <patternFill patternType="solid">
        <fgColor rgb="FFFFFFFF"/>
        <bgColor rgb="FFF8F8F8"/>
      </patternFill>
    </fill>
    <fill>
      <patternFill patternType="solid">
        <fgColor rgb="FFF2F2F2"/>
        <bgColor rgb="FFF8F8F8"/>
      </patternFill>
    </fill>
    <fill>
      <patternFill patternType="solid">
        <fgColor rgb="FF0D5E5E"/>
        <bgColor rgb="FF1A5C2A"/>
      </patternFill>
    </fill>
    <fill>
      <patternFill patternType="solid">
        <fgColor rgb="FFD9F0F0"/>
        <bgColor rgb="FFD9E8F5"/>
      </patternFill>
    </fill>
    <fill>
      <patternFill patternType="solid">
        <fgColor rgb="FF843C0C"/>
        <bgColor rgb="FF7F6000"/>
      </patternFill>
    </fill>
    <fill>
      <patternFill patternType="solid">
        <fgColor rgb="FFE8F8EC"/>
        <bgColor rgb="FFF2F2F2"/>
      </patternFill>
    </fill>
    <fill>
      <patternFill patternType="solid">
        <fgColor rgb="FFD9E8F5"/>
        <bgColor rgb="FFD9F0F0"/>
      </patternFill>
    </fill>
    <fill>
      <patternFill patternType="solid">
        <fgColor rgb="FFEAE0F5"/>
        <bgColor rgb="FFD9E8F5"/>
      </patternFill>
    </fill>
    <fill>
      <patternFill patternType="solid">
        <fgColor rgb="FFFFF2CC"/>
        <bgColor rgb="FFFCE4D6"/>
      </patternFill>
    </fill>
    <fill>
      <patternFill patternType="solid">
        <fgColor rgb="FFE2EFDA"/>
        <bgColor rgb="FFD9F0F0"/>
      </patternFill>
    </fill>
    <fill>
      <patternFill patternType="solid">
        <fgColor rgb="FFF8F8F8"/>
        <bgColor rgb="FFF2F2F2"/>
      </patternFill>
    </fill>
    <fill>
      <patternFill patternType="solid">
        <fgColor rgb="FFFCE4D6"/>
        <bgColor rgb="FFFFE0E0"/>
      </patternFill>
    </fill>
    <fill>
      <patternFill patternType="solid">
        <fgColor rgb="FFC00000"/>
        <bgColor rgb="FF800000"/>
      </patternFill>
    </fill>
    <fill>
      <patternFill patternType="solid">
        <fgColor rgb="FFFFE0E0"/>
        <bgColor rgb="FFFCE4D6"/>
      </patternFill>
    </fill>
    <fill>
      <patternFill patternType="solid">
        <fgColor rgb="FFFFF0F0"/>
        <bgColor rgb="FFF2F2F2"/>
      </patternFill>
    </fill>
    <fill>
      <patternFill patternType="solid">
        <fgColor rgb="FF3D1265"/>
        <bgColor rgb="FF333333"/>
      </patternFill>
    </fill>
  </fills>
  <borders count="3">
    <border>
      <left/>
      <right/>
      <top/>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s>
  <cellStyleXfs count="1">
    <xf numFmtId="0" fontId="0" fillId="0" borderId="0"/>
  </cellStyleXfs>
  <cellXfs count="106">
    <xf numFmtId="0" fontId="0" fillId="0" borderId="0" xfId="0"/>
    <xf numFmtId="0" fontId="5" fillId="4" borderId="1" xfId="0" applyFont="1" applyFill="1" applyBorder="1" applyAlignment="1">
      <alignment horizontal="left" vertical="center" wrapText="1"/>
    </xf>
    <xf numFmtId="0" fontId="3"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pplyAlignment="1">
      <alignment horizontal="left" vertical="center"/>
    </xf>
    <xf numFmtId="3" fontId="5" fillId="4" borderId="1" xfId="0" applyNumberFormat="1" applyFont="1" applyFill="1" applyBorder="1" applyAlignment="1">
      <alignment horizontal="right" vertical="center"/>
    </xf>
    <xf numFmtId="0" fontId="5" fillId="4" borderId="1" xfId="0" applyFont="1" applyFill="1" applyBorder="1" applyAlignment="1">
      <alignment horizontal="right" vertical="center"/>
    </xf>
    <xf numFmtId="164" fontId="5" fillId="4" borderId="1" xfId="0" applyNumberFormat="1" applyFont="1" applyFill="1" applyBorder="1" applyAlignment="1">
      <alignment horizontal="center" vertical="center"/>
    </xf>
    <xf numFmtId="0" fontId="4" fillId="5"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5" borderId="1" xfId="0" applyFont="1" applyFill="1" applyBorder="1" applyAlignment="1">
      <alignment horizontal="left" vertical="center"/>
    </xf>
    <xf numFmtId="3" fontId="5" fillId="5" borderId="1" xfId="0" applyNumberFormat="1" applyFont="1" applyFill="1" applyBorder="1" applyAlignment="1">
      <alignment horizontal="right" vertical="center"/>
    </xf>
    <xf numFmtId="0" fontId="5" fillId="5" borderId="1" xfId="0" applyFont="1" applyFill="1" applyBorder="1" applyAlignment="1">
      <alignment horizontal="right" vertical="center"/>
    </xf>
    <xf numFmtId="164" fontId="5" fillId="5" borderId="1" xfId="0" applyNumberFormat="1" applyFont="1" applyFill="1" applyBorder="1" applyAlignment="1">
      <alignment horizontal="center" vertical="center"/>
    </xf>
    <xf numFmtId="0" fontId="6" fillId="7" borderId="1" xfId="0" applyFont="1" applyFill="1" applyBorder="1" applyAlignment="1">
      <alignment horizontal="center" vertical="center"/>
    </xf>
    <xf numFmtId="0" fontId="6" fillId="4" borderId="1" xfId="0" applyFont="1" applyFill="1" applyBorder="1" applyAlignment="1">
      <alignment horizontal="center" vertical="center"/>
    </xf>
    <xf numFmtId="0" fontId="7" fillId="9"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12" fillId="4" borderId="1" xfId="0" applyFont="1" applyFill="1" applyBorder="1" applyAlignment="1">
      <alignment horizontal="center" vertical="center"/>
    </xf>
    <xf numFmtId="3" fontId="13" fillId="4" borderId="1" xfId="0" applyNumberFormat="1" applyFont="1" applyFill="1" applyBorder="1" applyAlignment="1">
      <alignment horizontal="right" vertical="center"/>
    </xf>
    <xf numFmtId="164" fontId="13" fillId="4" borderId="1" xfId="0" applyNumberFormat="1" applyFont="1" applyFill="1" applyBorder="1" applyAlignment="1">
      <alignment horizontal="center" vertical="center"/>
    </xf>
    <xf numFmtId="0" fontId="12" fillId="5" borderId="1" xfId="0" applyFont="1" applyFill="1" applyBorder="1" applyAlignment="1">
      <alignment horizontal="center" vertical="center"/>
    </xf>
    <xf numFmtId="3" fontId="13" fillId="5" borderId="1" xfId="0" applyNumberFormat="1" applyFont="1" applyFill="1" applyBorder="1" applyAlignment="1">
      <alignment horizontal="right" vertical="center"/>
    </xf>
    <xf numFmtId="164" fontId="13" fillId="5" borderId="1" xfId="0" applyNumberFormat="1" applyFont="1" applyFill="1" applyBorder="1" applyAlignment="1">
      <alignment horizontal="center" vertical="center"/>
    </xf>
    <xf numFmtId="3" fontId="3" fillId="2" borderId="1" xfId="0" applyNumberFormat="1" applyFont="1" applyFill="1" applyBorder="1" applyAlignment="1">
      <alignment horizontal="right" vertical="center"/>
    </xf>
    <xf numFmtId="164" fontId="3" fillId="2" borderId="1" xfId="0" applyNumberFormat="1" applyFont="1" applyFill="1" applyBorder="1" applyAlignment="1">
      <alignment horizontal="center" vertical="center"/>
    </xf>
    <xf numFmtId="0" fontId="12" fillId="4" borderId="1" xfId="0" applyFont="1" applyFill="1" applyBorder="1" applyAlignment="1">
      <alignment horizontal="left" vertical="center"/>
    </xf>
    <xf numFmtId="0" fontId="12" fillId="5" borderId="1" xfId="0" applyFont="1" applyFill="1" applyBorder="1" applyAlignment="1">
      <alignment horizontal="left" vertical="center"/>
    </xf>
    <xf numFmtId="0" fontId="0" fillId="0" borderId="1" xfId="0" applyBorder="1"/>
    <xf numFmtId="0" fontId="0" fillId="14" borderId="1" xfId="0" applyFill="1" applyBorder="1"/>
    <xf numFmtId="0" fontId="18" fillId="14" borderId="1" xfId="0" applyFont="1" applyFill="1" applyBorder="1" applyAlignment="1">
      <alignment horizontal="center" vertical="center"/>
    </xf>
    <xf numFmtId="0" fontId="3" fillId="3" borderId="1" xfId="0" applyFont="1" applyFill="1" applyBorder="1" applyAlignment="1">
      <alignment horizontal="center" vertical="center"/>
    </xf>
    <xf numFmtId="0" fontId="24" fillId="4" borderId="1" xfId="0" applyFont="1" applyFill="1" applyBorder="1" applyAlignment="1">
      <alignment horizontal="left" vertical="center"/>
    </xf>
    <xf numFmtId="0" fontId="25" fillId="4" borderId="1" xfId="0" applyFont="1" applyFill="1" applyBorder="1" applyAlignment="1">
      <alignment horizontal="left" vertical="center" wrapText="1"/>
    </xf>
    <xf numFmtId="0" fontId="26" fillId="4" borderId="1" xfId="0" applyFont="1" applyFill="1" applyBorder="1" applyAlignment="1">
      <alignment horizontal="left" vertical="center" wrapText="1"/>
    </xf>
    <xf numFmtId="0" fontId="24" fillId="5" borderId="1" xfId="0" applyFont="1" applyFill="1" applyBorder="1" applyAlignment="1">
      <alignment horizontal="left" vertical="center"/>
    </xf>
    <xf numFmtId="0" fontId="25" fillId="5" borderId="1" xfId="0" applyFont="1" applyFill="1" applyBorder="1" applyAlignment="1">
      <alignment horizontal="left" vertical="center" wrapText="1"/>
    </xf>
    <xf numFmtId="0" fontId="26"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27" fillId="17" borderId="1" xfId="0" applyFont="1" applyFill="1" applyBorder="1" applyAlignment="1">
      <alignment horizontal="left" vertical="center" wrapText="1"/>
    </xf>
    <xf numFmtId="0" fontId="27" fillId="18" borderId="1" xfId="0" applyFont="1" applyFill="1" applyBorder="1" applyAlignment="1">
      <alignment horizontal="left" vertical="center" wrapText="1"/>
    </xf>
    <xf numFmtId="0" fontId="27" fillId="18" borderId="0" xfId="0" applyFont="1" applyFill="1" applyAlignment="1">
      <alignment horizontal="left" vertical="center" wrapText="1"/>
    </xf>
    <xf numFmtId="0" fontId="28" fillId="11" borderId="1" xfId="0" applyFont="1" applyFill="1" applyBorder="1" applyAlignment="1">
      <alignment horizontal="left" vertical="center"/>
    </xf>
    <xf numFmtId="0" fontId="28" fillId="4" borderId="1" xfId="0" applyFont="1" applyFill="1" applyBorder="1" applyAlignment="1">
      <alignment horizontal="left" vertical="center"/>
    </xf>
    <xf numFmtId="0" fontId="29" fillId="4" borderId="1" xfId="0" applyFont="1" applyFill="1" applyBorder="1" applyAlignment="1">
      <alignment horizontal="center" vertical="center"/>
    </xf>
    <xf numFmtId="0" fontId="15" fillId="4" borderId="1" xfId="0" applyFont="1" applyFill="1" applyBorder="1" applyAlignment="1">
      <alignment horizontal="center" vertical="center"/>
    </xf>
    <xf numFmtId="0" fontId="29" fillId="5" borderId="1" xfId="0" applyFont="1" applyFill="1" applyBorder="1" applyAlignment="1">
      <alignment horizontal="center" vertical="center"/>
    </xf>
    <xf numFmtId="0" fontId="15" fillId="5" borderId="1" xfId="0" applyFont="1" applyFill="1" applyBorder="1" applyAlignment="1">
      <alignment horizontal="center" vertical="center"/>
    </xf>
    <xf numFmtId="0" fontId="30" fillId="12" borderId="1" xfId="0" applyFont="1" applyFill="1" applyBorder="1" applyAlignment="1">
      <alignment horizontal="left" vertical="center"/>
    </xf>
    <xf numFmtId="0" fontId="29" fillId="12" borderId="1" xfId="0" applyFont="1" applyFill="1" applyBorder="1" applyAlignment="1">
      <alignment horizontal="center" vertical="center"/>
    </xf>
    <xf numFmtId="0" fontId="31" fillId="12" borderId="1" xfId="0" applyFont="1" applyFill="1" applyBorder="1" applyAlignment="1">
      <alignment horizontal="left" vertical="center" wrapText="1"/>
    </xf>
    <xf numFmtId="0" fontId="32" fillId="12" borderId="1" xfId="0" applyFont="1" applyFill="1" applyBorder="1" applyAlignment="1">
      <alignment horizontal="center" vertical="center"/>
    </xf>
    <xf numFmtId="0" fontId="14" fillId="2" borderId="1" xfId="0" applyFont="1" applyFill="1" applyBorder="1" applyAlignment="1">
      <alignment horizontal="center" vertical="center"/>
    </xf>
    <xf numFmtId="0" fontId="34" fillId="13" borderId="1" xfId="0" applyFont="1" applyFill="1" applyBorder="1" applyAlignment="1">
      <alignment horizontal="center" vertical="center"/>
    </xf>
    <xf numFmtId="0" fontId="35" fillId="13" borderId="1" xfId="0" applyFont="1" applyFill="1" applyBorder="1" applyAlignment="1">
      <alignment horizontal="left" vertical="center"/>
    </xf>
    <xf numFmtId="0" fontId="0" fillId="13" borderId="1" xfId="0" applyFill="1" applyBorder="1"/>
    <xf numFmtId="0" fontId="29" fillId="10" borderId="1" xfId="0" applyFont="1" applyFill="1" applyBorder="1" applyAlignment="1">
      <alignment horizontal="center" vertical="center"/>
    </xf>
    <xf numFmtId="0" fontId="36" fillId="10" borderId="1" xfId="0" applyFont="1" applyFill="1" applyBorder="1" applyAlignment="1">
      <alignment horizontal="left" vertical="center"/>
    </xf>
    <xf numFmtId="0" fontId="0" fillId="10" borderId="1" xfId="0" applyFill="1" applyBorder="1"/>
    <xf numFmtId="0" fontId="37" fillId="15" borderId="1" xfId="0" applyFont="1" applyFill="1" applyBorder="1" applyAlignment="1">
      <alignment horizontal="center" vertical="center"/>
    </xf>
    <xf numFmtId="0" fontId="38" fillId="15" borderId="1" xfId="0" applyFont="1" applyFill="1" applyBorder="1" applyAlignment="1">
      <alignment horizontal="left" vertical="center"/>
    </xf>
    <xf numFmtId="0" fontId="0" fillId="15" borderId="1" xfId="0" applyFill="1" applyBorder="1"/>
    <xf numFmtId="0" fontId="39" fillId="17" borderId="1" xfId="0" applyFont="1" applyFill="1" applyBorder="1" applyAlignment="1">
      <alignment horizontal="center" vertical="center"/>
    </xf>
    <xf numFmtId="0" fontId="40" fillId="17" borderId="1" xfId="0" applyFont="1" applyFill="1" applyBorder="1" applyAlignment="1">
      <alignment horizontal="left" vertical="center"/>
    </xf>
    <xf numFmtId="0" fontId="0" fillId="17" borderId="1" xfId="0" applyFill="1" applyBorder="1"/>
    <xf numFmtId="0" fontId="0" fillId="0" borderId="0" xfId="0" pivotButton="1"/>
    <xf numFmtId="0" fontId="0" fillId="0" borderId="0" xfId="0" applyAlignment="1">
      <alignment horizontal="left"/>
    </xf>
    <xf numFmtId="3" fontId="0" fillId="0" borderId="0" xfId="0" applyNumberFormat="1"/>
    <xf numFmtId="165" fontId="0" fillId="0" borderId="0" xfId="0" applyNumberFormat="1"/>
    <xf numFmtId="165" fontId="0" fillId="0" borderId="0" xfId="0" applyNumberFormat="1" applyAlignment="1">
      <alignment horizontal="left"/>
    </xf>
    <xf numFmtId="0" fontId="23" fillId="4" borderId="1" xfId="0" applyFont="1" applyFill="1" applyBorder="1" applyAlignment="1">
      <alignment horizontal="left" vertical="center" wrapText="1"/>
    </xf>
    <xf numFmtId="0" fontId="17" fillId="10" borderId="1" xfId="0" applyFont="1" applyFill="1" applyBorder="1" applyAlignment="1">
      <alignment horizontal="left" vertical="center" wrapText="1"/>
    </xf>
    <xf numFmtId="0" fontId="3" fillId="2" borderId="1" xfId="0" applyFont="1" applyFill="1" applyBorder="1" applyAlignment="1">
      <alignment horizontal="center" vertical="center"/>
    </xf>
    <xf numFmtId="0" fontId="23" fillId="9" borderId="1" xfId="0" applyFont="1" applyFill="1" applyBorder="1" applyAlignment="1">
      <alignment horizontal="left" vertical="center" wrapText="1"/>
    </xf>
    <xf numFmtId="0" fontId="19" fillId="15" borderId="1" xfId="0" applyFont="1" applyFill="1" applyBorder="1" applyAlignment="1">
      <alignment horizontal="left" vertical="center"/>
    </xf>
    <xf numFmtId="0" fontId="20" fillId="15" borderId="1" xfId="0" applyFont="1" applyFill="1" applyBorder="1" applyAlignment="1">
      <alignment horizontal="left" vertical="center"/>
    </xf>
    <xf numFmtId="0" fontId="17" fillId="15" borderId="1" xfId="0" applyFont="1" applyFill="1" applyBorder="1" applyAlignment="1">
      <alignment horizontal="left" vertical="center" wrapText="1"/>
    </xf>
    <xf numFmtId="0" fontId="21" fillId="10" borderId="1" xfId="0" applyFont="1" applyFill="1" applyBorder="1" applyAlignment="1">
      <alignment horizontal="left" vertical="center"/>
    </xf>
    <xf numFmtId="0" fontId="22" fillId="10" borderId="1" xfId="0" applyFont="1" applyFill="1" applyBorder="1" applyAlignment="1">
      <alignment horizontal="left" vertical="center"/>
    </xf>
    <xf numFmtId="0" fontId="14" fillId="2" borderId="0" xfId="0" applyFont="1" applyFill="1" applyAlignment="1">
      <alignment horizontal="center" vertical="center"/>
    </xf>
    <xf numFmtId="0" fontId="2" fillId="3" borderId="0" xfId="0" applyFont="1" applyFill="1" applyAlignment="1">
      <alignment horizontal="center" vertical="center"/>
    </xf>
    <xf numFmtId="0" fontId="15" fillId="13" borderId="1" xfId="0" applyFont="1" applyFill="1" applyBorder="1" applyAlignment="1">
      <alignment horizontal="left" vertical="center"/>
    </xf>
    <xf numFmtId="0" fontId="16" fillId="13" borderId="1" xfId="0" applyFont="1" applyFill="1" applyBorder="1" applyAlignment="1">
      <alignment horizontal="left" vertical="center"/>
    </xf>
    <xf numFmtId="0" fontId="17" fillId="13" borderId="1" xfId="0" applyFont="1" applyFill="1" applyBorder="1" applyAlignment="1">
      <alignment horizontal="left" vertical="center" wrapText="1"/>
    </xf>
    <xf numFmtId="0" fontId="1" fillId="2" borderId="0" xfId="0" applyFont="1" applyFill="1" applyAlignment="1">
      <alignment horizontal="center" vertical="center"/>
    </xf>
    <xf numFmtId="0" fontId="3" fillId="3" borderId="2" xfId="0" applyFont="1" applyFill="1" applyBorder="1" applyAlignment="1">
      <alignment horizontal="center" vertical="center"/>
    </xf>
    <xf numFmtId="0" fontId="5" fillId="11" borderId="1" xfId="0" applyFont="1" applyFill="1" applyBorder="1" applyAlignment="1">
      <alignment horizontal="left" vertical="center" wrapText="1"/>
    </xf>
    <xf numFmtId="0" fontId="11" fillId="12"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3" fillId="8"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16" borderId="1" xfId="0" applyFont="1" applyFill="1" applyBorder="1" applyAlignment="1">
      <alignment horizontal="center" vertical="center"/>
    </xf>
    <xf numFmtId="0" fontId="3" fillId="19" borderId="1" xfId="0" applyFont="1" applyFill="1" applyBorder="1" applyAlignment="1">
      <alignment horizontal="center" vertical="center"/>
    </xf>
    <xf numFmtId="0" fontId="41" fillId="12"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33" fillId="2" borderId="1" xfId="0" applyFont="1" applyFill="1" applyBorder="1" applyAlignment="1">
      <alignment horizontal="right" vertical="center"/>
    </xf>
    <xf numFmtId="0" fontId="33" fillId="2" borderId="1" xfId="0" applyFont="1" applyFill="1" applyBorder="1" applyAlignment="1">
      <alignment horizontal="center" vertical="center"/>
    </xf>
    <xf numFmtId="0" fontId="0" fillId="0" borderId="0" xfId="0" applyNumberFormat="1"/>
  </cellXfs>
  <cellStyles count="1">
    <cellStyle name="Normal" xfId="0" builtinId="0"/>
  </cellStyles>
  <dxfs count="2">
    <dxf>
      <numFmt numFmtId="165" formatCode="&quot;₹&quot;\ #,##0.00"/>
    </dxf>
    <dxf>
      <numFmt numFmtId="165" formatCode="&quot;₹&quot;\ #,##0.00"/>
    </dxf>
  </dxfs>
  <tableStyles count="0" defaultTableStyle="TableStyleMedium2" defaultPivotStyle="PivotStyleLight16"/>
  <colors>
    <indexedColors>
      <rgbColor rgb="FF000000"/>
      <rgbColor rgb="FFFFFFFF"/>
      <rgbColor rgb="FFC00000"/>
      <rgbColor rgb="FF00FF00"/>
      <rgbColor rgb="FF0000FF"/>
      <rgbColor rgb="FFF8F8F8"/>
      <rgbColor rgb="FFFF00FF"/>
      <rgbColor rgb="FF00FFFF"/>
      <rgbColor rgb="FF800000"/>
      <rgbColor rgb="FF1A5C2A"/>
      <rgbColor rgb="FF000080"/>
      <rgbColor rgb="FF7F6000"/>
      <rgbColor rgb="FF800080"/>
      <rgbColor rgb="FF0D5E5E"/>
      <rgbColor rgb="FFBBBBBB"/>
      <rgbColor rgb="FF777777"/>
      <rgbColor rgb="FF9999FF"/>
      <rgbColor rgb="FF993366"/>
      <rgbColor rgb="FFFFF2CC"/>
      <rgbColor rgb="FFD9F0F0"/>
      <rgbColor rgb="FF3D1265"/>
      <rgbColor rgb="FFFF8080"/>
      <rgbColor rgb="FF2E5EAA"/>
      <rgbColor rgb="FFEAE0F5"/>
      <rgbColor rgb="FF000080"/>
      <rgbColor rgb="FFFF00FF"/>
      <rgbColor rgb="FFFFFF00"/>
      <rgbColor rgb="FF00FFFF"/>
      <rgbColor rgb="FF800080"/>
      <rgbColor rgb="FF800000"/>
      <rgbColor rgb="FF008080"/>
      <rgbColor rgb="FF0000FF"/>
      <rgbColor rgb="FF00CCFF"/>
      <rgbColor rgb="FFE8F8EC"/>
      <rgbColor rgb="FFE2EFDA"/>
      <rgbColor rgb="FFFFF0F0"/>
      <rgbColor rgb="FFD9E8F5"/>
      <rgbColor rgb="FFFFE0E0"/>
      <rgbColor rgb="FFF2F2F2"/>
      <rgbColor rgb="FFFCE4D6"/>
      <rgbColor rgb="FF3366FF"/>
      <rgbColor rgb="FF33CCCC"/>
      <rgbColor rgb="FF99CC00"/>
      <rgbColor rgb="FFFFCC00"/>
      <rgbColor rgb="FFFF9900"/>
      <rgbColor rgb="FFFF6600"/>
      <rgbColor rgb="FF666666"/>
      <rgbColor rgb="FFAAAAAA"/>
      <rgbColor rgb="FF1F3864"/>
      <rgbColor rgb="FF339966"/>
      <rgbColor rgb="FF003300"/>
      <rgbColor rgb="FF333300"/>
      <rgbColor rgb="FF843C0C"/>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[Day15_Pivot_Charts_Slicers.xlsx]Sheet2!PivotTable2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Revenue (₹)</c:v>
                </c:pt>
              </c:strCache>
            </c:strRef>
          </c:tx>
          <c:spPr>
            <a:solidFill>
              <a:schemeClr val="accent1"/>
            </a:solidFill>
            <a:ln>
              <a:noFill/>
            </a:ln>
            <a:effectLst/>
          </c:spPr>
          <c:invertIfNegative val="0"/>
          <c:cat>
            <c:strRef>
              <c:f>Sheet2!$A$4:$A$10</c:f>
              <c:strCache>
                <c:ptCount val="6"/>
                <c:pt idx="0">
                  <c:v>Appliances</c:v>
                </c:pt>
                <c:pt idx="1">
                  <c:v>Electronics</c:v>
                </c:pt>
                <c:pt idx="2">
                  <c:v>Fitness</c:v>
                </c:pt>
                <c:pt idx="3">
                  <c:v>Footwear</c:v>
                </c:pt>
                <c:pt idx="4">
                  <c:v>Furniture</c:v>
                </c:pt>
                <c:pt idx="5">
                  <c:v>Nutrition</c:v>
                </c:pt>
              </c:strCache>
            </c:strRef>
          </c:cat>
          <c:val>
            <c:numRef>
              <c:f>Sheet2!$B$4:$B$10</c:f>
              <c:numCache>
                <c:formatCode>#,##0</c:formatCode>
                <c:ptCount val="6"/>
                <c:pt idx="0">
                  <c:v>3296700</c:v>
                </c:pt>
                <c:pt idx="1">
                  <c:v>2480300</c:v>
                </c:pt>
                <c:pt idx="2">
                  <c:v>89000</c:v>
                </c:pt>
                <c:pt idx="3">
                  <c:v>371900</c:v>
                </c:pt>
                <c:pt idx="4">
                  <c:v>348100</c:v>
                </c:pt>
                <c:pt idx="5">
                  <c:v>58200</c:v>
                </c:pt>
              </c:numCache>
            </c:numRef>
          </c:val>
          <c:extLst>
            <c:ext xmlns:c16="http://schemas.microsoft.com/office/drawing/2014/chart" uri="{C3380CC4-5D6E-409C-BE32-E72D297353CC}">
              <c16:uniqueId val="{00000000-4FDA-4900-96AC-AA884D945B58}"/>
            </c:ext>
          </c:extLst>
        </c:ser>
        <c:ser>
          <c:idx val="1"/>
          <c:order val="1"/>
          <c:tx>
            <c:strRef>
              <c:f>Sheet2!$C$3</c:f>
              <c:strCache>
                <c:ptCount val="1"/>
                <c:pt idx="0">
                  <c:v>Count of Order ID</c:v>
                </c:pt>
              </c:strCache>
            </c:strRef>
          </c:tx>
          <c:spPr>
            <a:solidFill>
              <a:schemeClr val="accent2"/>
            </a:solidFill>
            <a:ln>
              <a:noFill/>
            </a:ln>
            <a:effectLst/>
          </c:spPr>
          <c:invertIfNegative val="0"/>
          <c:cat>
            <c:strRef>
              <c:f>Sheet2!$A$4:$A$10</c:f>
              <c:strCache>
                <c:ptCount val="6"/>
                <c:pt idx="0">
                  <c:v>Appliances</c:v>
                </c:pt>
                <c:pt idx="1">
                  <c:v>Electronics</c:v>
                </c:pt>
                <c:pt idx="2">
                  <c:v>Fitness</c:v>
                </c:pt>
                <c:pt idx="3">
                  <c:v>Footwear</c:v>
                </c:pt>
                <c:pt idx="4">
                  <c:v>Furniture</c:v>
                </c:pt>
                <c:pt idx="5">
                  <c:v>Nutrition</c:v>
                </c:pt>
              </c:strCache>
            </c:strRef>
          </c:cat>
          <c:val>
            <c:numRef>
              <c:f>Sheet2!$C$4:$C$10</c:f>
              <c:numCache>
                <c:formatCode>General</c:formatCode>
                <c:ptCount val="6"/>
                <c:pt idx="0">
                  <c:v>20</c:v>
                </c:pt>
                <c:pt idx="1">
                  <c:v>20</c:v>
                </c:pt>
                <c:pt idx="2">
                  <c:v>20</c:v>
                </c:pt>
                <c:pt idx="3">
                  <c:v>20</c:v>
                </c:pt>
                <c:pt idx="4">
                  <c:v>20</c:v>
                </c:pt>
                <c:pt idx="5">
                  <c:v>20</c:v>
                </c:pt>
              </c:numCache>
            </c:numRef>
          </c:val>
          <c:extLst>
            <c:ext xmlns:c16="http://schemas.microsoft.com/office/drawing/2014/chart" uri="{C3380CC4-5D6E-409C-BE32-E72D297353CC}">
              <c16:uniqueId val="{00000001-E088-4DD2-8682-785F84796983}"/>
            </c:ext>
          </c:extLst>
        </c:ser>
        <c:dLbls>
          <c:showLegendKey val="0"/>
          <c:showVal val="0"/>
          <c:showCatName val="0"/>
          <c:showSerName val="0"/>
          <c:showPercent val="0"/>
          <c:showBubbleSize val="0"/>
        </c:dLbls>
        <c:gapWidth val="219"/>
        <c:overlap val="-27"/>
        <c:axId val="964501151"/>
        <c:axId val="964505951"/>
      </c:barChart>
      <c:catAx>
        <c:axId val="96450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505951"/>
        <c:crosses val="autoZero"/>
        <c:auto val="1"/>
        <c:lblAlgn val="ctr"/>
        <c:lblOffset val="100"/>
        <c:noMultiLvlLbl val="0"/>
      </c:catAx>
      <c:valAx>
        <c:axId val="9645059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50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[Day15_Pivot_Charts_Slicers.xlsx]Practice Area (Your Work)!PivotTable1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'Practice Area (Your Work)'!$C$22</c:f>
              <c:strCache>
                <c:ptCount val="1"/>
                <c:pt idx="0">
                  <c:v>Sum of Revenue (₹)</c:v>
                </c:pt>
              </c:strCache>
            </c:strRef>
          </c:tx>
          <c:spPr>
            <a:solidFill>
              <a:schemeClr val="accent1"/>
            </a:solidFill>
            <a:ln>
              <a:noFill/>
            </a:ln>
            <a:effectLst/>
          </c:spPr>
          <c:invertIfNegative val="0"/>
          <c:cat>
            <c:strRef>
              <c:f>'Practice Area (Your Work)'!$B$23:$B$29</c:f>
              <c:strCache>
                <c:ptCount val="6"/>
                <c:pt idx="0">
                  <c:v>Appliances</c:v>
                </c:pt>
                <c:pt idx="1">
                  <c:v>Electronics</c:v>
                </c:pt>
                <c:pt idx="2">
                  <c:v>Fitness</c:v>
                </c:pt>
                <c:pt idx="3">
                  <c:v>Footwear</c:v>
                </c:pt>
                <c:pt idx="4">
                  <c:v>Furniture</c:v>
                </c:pt>
                <c:pt idx="5">
                  <c:v>Nutrition</c:v>
                </c:pt>
              </c:strCache>
            </c:strRef>
          </c:cat>
          <c:val>
            <c:numRef>
              <c:f>'Practice Area (Your Work)'!$C$23:$C$29</c:f>
              <c:numCache>
                <c:formatCode>#,##0</c:formatCode>
                <c:ptCount val="6"/>
                <c:pt idx="0">
                  <c:v>3296700</c:v>
                </c:pt>
                <c:pt idx="1">
                  <c:v>2480300</c:v>
                </c:pt>
                <c:pt idx="2">
                  <c:v>89000</c:v>
                </c:pt>
                <c:pt idx="3">
                  <c:v>371900</c:v>
                </c:pt>
                <c:pt idx="4">
                  <c:v>348100</c:v>
                </c:pt>
                <c:pt idx="5">
                  <c:v>58200</c:v>
                </c:pt>
              </c:numCache>
            </c:numRef>
          </c:val>
          <c:extLst>
            <c:ext xmlns:c16="http://schemas.microsoft.com/office/drawing/2014/chart" uri="{C3380CC4-5D6E-409C-BE32-E72D297353CC}">
              <c16:uniqueId val="{00000000-1AFF-4E61-A27E-C39A88D1A46E}"/>
            </c:ext>
          </c:extLst>
        </c:ser>
        <c:ser>
          <c:idx val="1"/>
          <c:order val="1"/>
          <c:tx>
            <c:strRef>
              <c:f>'Practice Area (Your Work)'!$D$22</c:f>
              <c:strCache>
                <c:ptCount val="1"/>
                <c:pt idx="0">
                  <c:v>Count of Order ID</c:v>
                </c:pt>
              </c:strCache>
            </c:strRef>
          </c:tx>
          <c:spPr>
            <a:solidFill>
              <a:schemeClr val="accent2"/>
            </a:solidFill>
            <a:ln>
              <a:noFill/>
            </a:ln>
            <a:effectLst/>
          </c:spPr>
          <c:invertIfNegative val="0"/>
          <c:cat>
            <c:strRef>
              <c:f>'Practice Area (Your Work)'!$B$23:$B$29</c:f>
              <c:strCache>
                <c:ptCount val="6"/>
                <c:pt idx="0">
                  <c:v>Appliances</c:v>
                </c:pt>
                <c:pt idx="1">
                  <c:v>Electronics</c:v>
                </c:pt>
                <c:pt idx="2">
                  <c:v>Fitness</c:v>
                </c:pt>
                <c:pt idx="3">
                  <c:v>Footwear</c:v>
                </c:pt>
                <c:pt idx="4">
                  <c:v>Furniture</c:v>
                </c:pt>
                <c:pt idx="5">
                  <c:v>Nutrition</c:v>
                </c:pt>
              </c:strCache>
            </c:strRef>
          </c:cat>
          <c:val>
            <c:numRef>
              <c:f>'Practice Area (Your Work)'!$D$23:$D$29</c:f>
              <c:numCache>
                <c:formatCode>General</c:formatCode>
                <c:ptCount val="6"/>
                <c:pt idx="0">
                  <c:v>20</c:v>
                </c:pt>
                <c:pt idx="1">
                  <c:v>20</c:v>
                </c:pt>
                <c:pt idx="2">
                  <c:v>20</c:v>
                </c:pt>
                <c:pt idx="3">
                  <c:v>20</c:v>
                </c:pt>
                <c:pt idx="4">
                  <c:v>20</c:v>
                </c:pt>
                <c:pt idx="5">
                  <c:v>20</c:v>
                </c:pt>
              </c:numCache>
            </c:numRef>
          </c:val>
          <c:extLst>
            <c:ext xmlns:c16="http://schemas.microsoft.com/office/drawing/2014/chart" uri="{C3380CC4-5D6E-409C-BE32-E72D297353CC}">
              <c16:uniqueId val="{00000001-1AFF-4E61-A27E-C39A88D1A46E}"/>
            </c:ext>
          </c:extLst>
        </c:ser>
        <c:dLbls>
          <c:showLegendKey val="0"/>
          <c:showVal val="0"/>
          <c:showCatName val="0"/>
          <c:showSerName val="0"/>
          <c:showPercent val="0"/>
          <c:showBubbleSize val="0"/>
        </c:dLbls>
        <c:gapWidth val="219"/>
        <c:overlap val="-27"/>
        <c:axId val="538715440"/>
        <c:axId val="538718320"/>
      </c:barChart>
      <c:catAx>
        <c:axId val="53871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18320"/>
        <c:crosses val="autoZero"/>
        <c:auto val="1"/>
        <c:lblAlgn val="ctr"/>
        <c:lblOffset val="100"/>
        <c:noMultiLvlLbl val="0"/>
      </c:catAx>
      <c:valAx>
        <c:axId val="538718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1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171450</xdr:rowOff>
    </xdr:from>
    <xdr:to>
      <xdr:col>15</xdr:col>
      <xdr:colOff>281940</xdr:colOff>
      <xdr:row>16</xdr:row>
      <xdr:rowOff>0</xdr:rowOff>
    </xdr:to>
    <xdr:graphicFrame macro="">
      <xdr:nvGraphicFramePr>
        <xdr:cNvPr id="2" name="Chart 1">
          <a:extLst>
            <a:ext uri="{FF2B5EF4-FFF2-40B4-BE49-F238E27FC236}">
              <a16:creationId xmlns:a16="http://schemas.microsoft.com/office/drawing/2014/main" id="{5588EA09-2400-64A5-6BB6-34867F76D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304800</xdr:colOff>
      <xdr:row>2</xdr:row>
      <xdr:rowOff>15240</xdr:rowOff>
    </xdr:from>
    <xdr:to>
      <xdr:col>18</xdr:col>
      <xdr:colOff>304800</xdr:colOff>
      <xdr:row>15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603A6F82-DBAF-EAD8-C44C-CC5878702A3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78640" y="381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297180</xdr:colOff>
      <xdr:row>2</xdr:row>
      <xdr:rowOff>0</xdr:rowOff>
    </xdr:from>
    <xdr:to>
      <xdr:col>21</xdr:col>
      <xdr:colOff>297180</xdr:colOff>
      <xdr:row>15</xdr:row>
      <xdr:rowOff>89535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D64AA1BC-0830-D9A2-A45E-CF58D925049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79982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53340</xdr:colOff>
      <xdr:row>7</xdr:row>
      <xdr:rowOff>22861</xdr:rowOff>
    </xdr:from>
    <xdr:to>
      <xdr:col>5</xdr:col>
      <xdr:colOff>922020</xdr:colOff>
      <xdr:row>16</xdr:row>
      <xdr:rowOff>1</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1EA5372D-8544-D19B-421E-5A99E5B7C79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177540" y="1988821"/>
              <a:ext cx="1828800" cy="2034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7620</xdr:colOff>
      <xdr:row>21</xdr:row>
      <xdr:rowOff>7621</xdr:rowOff>
    </xdr:from>
    <xdr:to>
      <xdr:col>11</xdr:col>
      <xdr:colOff>144780</xdr:colOff>
      <xdr:row>30</xdr:row>
      <xdr:rowOff>22861</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B9F8B892-8DDC-45E8-A3E3-360F7F8F168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972300" y="5250181"/>
              <a:ext cx="1828800" cy="2072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144780</xdr:colOff>
      <xdr:row>21</xdr:row>
      <xdr:rowOff>26670</xdr:rowOff>
    </xdr:from>
    <xdr:to>
      <xdr:col>8</xdr:col>
      <xdr:colOff>60960</xdr:colOff>
      <xdr:row>28</xdr:row>
      <xdr:rowOff>220980</xdr:rowOff>
    </xdr:to>
    <xdr:graphicFrame macro="">
      <xdr:nvGraphicFramePr>
        <xdr:cNvPr id="5" name="Chart 4">
          <a:extLst>
            <a:ext uri="{FF2B5EF4-FFF2-40B4-BE49-F238E27FC236}">
              <a16:creationId xmlns:a16="http://schemas.microsoft.com/office/drawing/2014/main" id="{BCBD2F8F-C85D-C110-F27B-A55DCC5D3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nshu" refreshedDate="46114.805390046298" createdVersion="8" refreshedVersion="8" minRefreshableVersion="3" recordCount="120" xr:uid="{E4F8D5E1-5852-4FD1-8286-11F76470E27C}">
  <cacheSource type="worksheet">
    <worksheetSource ref="A4:I124" sheet="Raw Data (Pivot Source)"/>
  </cacheSource>
  <cacheFields count="9">
    <cacheField name="Order ID" numFmtId="0">
      <sharedItems/>
    </cacheField>
    <cacheField name="Order Date" numFmtId="0">
      <sharedItems/>
    </cacheField>
    <cacheField name="Region" numFmtId="0">
      <sharedItems count="4">
        <s v="North"/>
        <s v="South"/>
        <s v="East"/>
        <s v="West"/>
      </sharedItems>
    </cacheField>
    <cacheField name="Category" numFmtId="0">
      <sharedItems count="6">
        <s v="Electronics"/>
        <s v="Appliances"/>
        <s v="Footwear"/>
        <s v="Fitness"/>
        <s v="Nutrition"/>
        <s v="Furniture"/>
      </sharedItems>
    </cacheField>
    <cacheField name="Product" numFmtId="0">
      <sharedItems/>
    </cacheField>
    <cacheField name="Revenue (₹)" numFmtId="3">
      <sharedItems containsSemiMixedTypes="0" containsString="0" containsNumber="1" containsInteger="1" minValue="800" maxValue="259500"/>
    </cacheField>
    <cacheField name="Cost (₹)" numFmtId="3">
      <sharedItems containsSemiMixedTypes="0" containsString="0" containsNumber="1" containsInteger="1" minValue="400" maxValue="178400"/>
    </cacheField>
    <cacheField name="Units" numFmtId="0">
      <sharedItems containsSemiMixedTypes="0" containsString="0" containsNumber="1" containsInteger="1" minValue="1" maxValue="8"/>
    </cacheField>
    <cacheField name="Margin %" numFmtId="164">
      <sharedItems containsSemiMixedTypes="0" containsString="0" containsNumber="1" minValue="0.312" maxValue="0.55600000000000005"/>
    </cacheField>
  </cacheFields>
  <extLst>
    <ext xmlns:x14="http://schemas.microsoft.com/office/spreadsheetml/2009/9/main" uri="{725AE2AE-9491-48be-B2B4-4EB974FC3084}">
      <x14:pivotCacheDefinition pivotCacheId="13337179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ORD-001"/>
    <s v="2024-04-01"/>
    <x v="0"/>
    <x v="0"/>
    <s v="Smart TV 55&quot;"/>
    <n v="54300"/>
    <n v="36200"/>
    <n v="2"/>
    <n v="0.33300000000000002"/>
  </r>
  <r>
    <s v="ORD-002"/>
    <s v="2024-05-02"/>
    <x v="1"/>
    <x v="1"/>
    <s v="Washing Machine"/>
    <n v="155900"/>
    <n v="107200"/>
    <n v="5"/>
    <n v="0.312"/>
  </r>
  <r>
    <s v="ORD-003"/>
    <s v="2024-06-03"/>
    <x v="2"/>
    <x v="2"/>
    <s v="Hiking Boots"/>
    <n v="10700"/>
    <n v="6100"/>
    <n v="3"/>
    <n v="0.43"/>
  </r>
  <r>
    <s v="ORD-004"/>
    <s v="2024-07-04"/>
    <x v="3"/>
    <x v="3"/>
    <s v="Yoga Mat"/>
    <n v="2400"/>
    <n v="1100"/>
    <n v="2"/>
    <n v="0.54200000000000004"/>
  </r>
  <r>
    <s v="ORD-005"/>
    <s v="2024-08-05"/>
    <x v="0"/>
    <x v="4"/>
    <s v="Multivitamin"/>
    <n v="800"/>
    <n v="400"/>
    <n v="1"/>
    <n v="0.5"/>
  </r>
  <r>
    <s v="ORD-006"/>
    <s v="2024-09-06"/>
    <x v="1"/>
    <x v="5"/>
    <s v="Bookshelf"/>
    <n v="18700"/>
    <n v="11700"/>
    <n v="4"/>
    <n v="0.374"/>
  </r>
  <r>
    <s v="ORD-007"/>
    <s v="2024-10-07"/>
    <x v="2"/>
    <x v="0"/>
    <s v="Smart TV 55&quot;"/>
    <n v="28700"/>
    <n v="19100"/>
    <n v="1"/>
    <n v="0.33400000000000002"/>
  </r>
  <r>
    <s v="ORD-008"/>
    <s v="2024-11-08"/>
    <x v="3"/>
    <x v="1"/>
    <s v="Washing Machine"/>
    <n v="217700"/>
    <n v="149700"/>
    <n v="7"/>
    <n v="0.312"/>
  </r>
  <r>
    <s v="ORD-009"/>
    <s v="2024-12-09"/>
    <x v="0"/>
    <x v="2"/>
    <s v="Hiking Boots"/>
    <n v="18000"/>
    <n v="10300"/>
    <n v="5"/>
    <n v="0.42799999999999999"/>
  </r>
  <r>
    <s v="ORD-010"/>
    <s v="2025-01-10"/>
    <x v="1"/>
    <x v="3"/>
    <s v="Yoga Mat"/>
    <n v="1200"/>
    <n v="600"/>
    <n v="1"/>
    <n v="0.5"/>
  </r>
  <r>
    <s v="ORD-011"/>
    <s v="2025-02-11"/>
    <x v="2"/>
    <x v="4"/>
    <s v="Multivitamin"/>
    <n v="2600"/>
    <n v="1200"/>
    <n v="3"/>
    <n v="0.53800000000000003"/>
  </r>
  <r>
    <s v="ORD-012"/>
    <s v="2025-03-12"/>
    <x v="3"/>
    <x v="5"/>
    <s v="Bookshelf"/>
    <n v="28200"/>
    <n v="17600"/>
    <n v="6"/>
    <n v="0.376"/>
  </r>
  <r>
    <s v="ORD-013"/>
    <s v="2024-04-13"/>
    <x v="0"/>
    <x v="0"/>
    <s v="Smart TV 55&quot;"/>
    <n v="119200"/>
    <n v="79500"/>
    <n v="4"/>
    <n v="0.33300000000000002"/>
  </r>
  <r>
    <s v="ORD-014"/>
    <s v="2024-05-14"/>
    <x v="1"/>
    <x v="1"/>
    <s v="Washing Machine"/>
    <n v="184400"/>
    <n v="126700"/>
    <n v="6"/>
    <n v="0.313"/>
  </r>
  <r>
    <s v="ORD-015"/>
    <s v="2024-06-15"/>
    <x v="2"/>
    <x v="2"/>
    <s v="Hiking Boots"/>
    <n v="23500"/>
    <n v="13400"/>
    <n v="7"/>
    <n v="0.43"/>
  </r>
  <r>
    <s v="ORD-016"/>
    <s v="2024-07-16"/>
    <x v="3"/>
    <x v="3"/>
    <s v="Yoga Mat"/>
    <n v="7300"/>
    <n v="3300"/>
    <n v="6"/>
    <n v="0.54800000000000004"/>
  </r>
  <r>
    <s v="ORD-017"/>
    <s v="2024-08-17"/>
    <x v="0"/>
    <x v="4"/>
    <s v="Multivitamin"/>
    <n v="900"/>
    <n v="400"/>
    <n v="1"/>
    <n v="0.55600000000000005"/>
  </r>
  <r>
    <s v="ORD-018"/>
    <s v="2024-09-18"/>
    <x v="1"/>
    <x v="5"/>
    <s v="Bookshelf"/>
    <n v="10100"/>
    <n v="6300"/>
    <n v="2"/>
    <n v="0.376"/>
  </r>
  <r>
    <s v="ORD-019"/>
    <s v="2024-10-19"/>
    <x v="2"/>
    <x v="0"/>
    <s v="Smart TV 55&quot;"/>
    <n v="191100"/>
    <n v="127400"/>
    <n v="7"/>
    <n v="0.33300000000000002"/>
  </r>
  <r>
    <s v="ORD-020"/>
    <s v="2024-11-20"/>
    <x v="3"/>
    <x v="1"/>
    <s v="Washing Machine"/>
    <n v="165300"/>
    <n v="113600"/>
    <n v="5"/>
    <n v="0.313"/>
  </r>
  <r>
    <s v="ORD-021"/>
    <s v="2024-12-21"/>
    <x v="0"/>
    <x v="2"/>
    <s v="Hiking Boots"/>
    <n v="21200"/>
    <n v="12100"/>
    <n v="6"/>
    <n v="0.42899999999999999"/>
  </r>
  <r>
    <s v="ORD-022"/>
    <s v="2025-01-22"/>
    <x v="1"/>
    <x v="3"/>
    <s v="Yoga Mat"/>
    <n v="2300"/>
    <n v="1100"/>
    <n v="2"/>
    <n v="0.52200000000000002"/>
  </r>
  <r>
    <s v="ORD-023"/>
    <s v="2025-02-23"/>
    <x v="2"/>
    <x v="4"/>
    <s v="Multivitamin"/>
    <n v="3500"/>
    <n v="1600"/>
    <n v="4"/>
    <n v="0.54300000000000004"/>
  </r>
  <r>
    <s v="ORD-024"/>
    <s v="2025-03-24"/>
    <x v="3"/>
    <x v="5"/>
    <s v="Bookshelf"/>
    <n v="9900"/>
    <n v="6200"/>
    <n v="2"/>
    <n v="0.374"/>
  </r>
  <r>
    <s v="ORD-025"/>
    <s v="2024-04-25"/>
    <x v="0"/>
    <x v="0"/>
    <s v="Smart TV 55&quot;"/>
    <n v="56300"/>
    <n v="37500"/>
    <n v="2"/>
    <n v="0.33400000000000002"/>
  </r>
  <r>
    <s v="ORD-026"/>
    <s v="2024-05-26"/>
    <x v="1"/>
    <x v="1"/>
    <s v="Washing Machine"/>
    <n v="259500"/>
    <n v="178400"/>
    <n v="8"/>
    <n v="0.313"/>
  </r>
  <r>
    <s v="ORD-027"/>
    <s v="2024-06-27"/>
    <x v="2"/>
    <x v="2"/>
    <s v="Hiking Boots"/>
    <n v="20300"/>
    <n v="11600"/>
    <n v="6"/>
    <n v="0.42899999999999999"/>
  </r>
  <r>
    <s v="ORD-028"/>
    <s v="2024-07-28"/>
    <x v="3"/>
    <x v="3"/>
    <s v="Yoga Mat"/>
    <n v="7000"/>
    <n v="3200"/>
    <n v="6"/>
    <n v="0.54300000000000004"/>
  </r>
  <r>
    <s v="ORD-029"/>
    <s v="2024-08-01"/>
    <x v="0"/>
    <x v="4"/>
    <s v="Multivitamin"/>
    <n v="4300"/>
    <n v="2000"/>
    <n v="5"/>
    <n v="0.53500000000000003"/>
  </r>
  <r>
    <s v="ORD-030"/>
    <s v="2024-09-02"/>
    <x v="1"/>
    <x v="5"/>
    <s v="Bookshelf"/>
    <n v="9700"/>
    <n v="6100"/>
    <n v="2"/>
    <n v="0.371"/>
  </r>
  <r>
    <s v="ORD-031"/>
    <s v="2024-10-03"/>
    <x v="2"/>
    <x v="0"/>
    <s v="Smart TV 55&quot;"/>
    <n v="85800"/>
    <n v="57200"/>
    <n v="3"/>
    <n v="0.33300000000000002"/>
  </r>
  <r>
    <s v="ORD-032"/>
    <s v="2024-11-04"/>
    <x v="3"/>
    <x v="1"/>
    <s v="Washing Machine"/>
    <n v="123700"/>
    <n v="85000"/>
    <n v="4"/>
    <n v="0.313"/>
  </r>
  <r>
    <s v="ORD-033"/>
    <s v="2024-12-05"/>
    <x v="0"/>
    <x v="2"/>
    <s v="Hiking Boots"/>
    <n v="23900"/>
    <n v="13700"/>
    <n v="7"/>
    <n v="0.42699999999999999"/>
  </r>
  <r>
    <s v="ORD-034"/>
    <s v="2025-01-06"/>
    <x v="1"/>
    <x v="3"/>
    <s v="Yoga Mat"/>
    <n v="4900"/>
    <n v="2200"/>
    <n v="4"/>
    <n v="0.55100000000000005"/>
  </r>
  <r>
    <s v="ORD-035"/>
    <s v="2025-02-07"/>
    <x v="2"/>
    <x v="4"/>
    <s v="Multivitamin"/>
    <n v="800"/>
    <n v="400"/>
    <n v="1"/>
    <n v="0.5"/>
  </r>
  <r>
    <s v="ORD-036"/>
    <s v="2025-03-08"/>
    <x v="3"/>
    <x v="5"/>
    <s v="Bookshelf"/>
    <n v="4900"/>
    <n v="3100"/>
    <n v="1"/>
    <n v="0.36699999999999999"/>
  </r>
  <r>
    <s v="ORD-037"/>
    <s v="2024-04-09"/>
    <x v="0"/>
    <x v="0"/>
    <s v="Smart TV 55&quot;"/>
    <n v="194900"/>
    <n v="129900"/>
    <n v="7"/>
    <n v="0.33400000000000002"/>
  </r>
  <r>
    <s v="ORD-038"/>
    <s v="2024-05-10"/>
    <x v="1"/>
    <x v="1"/>
    <s v="Washing Machine"/>
    <n v="133300"/>
    <n v="91600"/>
    <n v="4"/>
    <n v="0.313"/>
  </r>
  <r>
    <s v="ORD-039"/>
    <s v="2024-06-11"/>
    <x v="2"/>
    <x v="2"/>
    <s v="Hiking Boots"/>
    <n v="20400"/>
    <n v="11700"/>
    <n v="6"/>
    <n v="0.42599999999999999"/>
  </r>
  <r>
    <s v="ORD-040"/>
    <s v="2024-07-12"/>
    <x v="3"/>
    <x v="3"/>
    <s v="Yoga Mat"/>
    <n v="9500"/>
    <n v="4400"/>
    <n v="8"/>
    <n v="0.53700000000000003"/>
  </r>
  <r>
    <s v="ORD-041"/>
    <s v="2024-08-13"/>
    <x v="0"/>
    <x v="4"/>
    <s v="Multivitamin"/>
    <n v="6600"/>
    <n v="3100"/>
    <n v="8"/>
    <n v="0.53"/>
  </r>
  <r>
    <s v="ORD-042"/>
    <s v="2024-09-14"/>
    <x v="1"/>
    <x v="5"/>
    <s v="Bookshelf"/>
    <n v="14000"/>
    <n v="8800"/>
    <n v="3"/>
    <n v="0.371"/>
  </r>
  <r>
    <s v="ORD-043"/>
    <s v="2024-10-15"/>
    <x v="2"/>
    <x v="0"/>
    <s v="Smart TV 55&quot;"/>
    <n v="146000"/>
    <n v="97300"/>
    <n v="5"/>
    <n v="0.33400000000000002"/>
  </r>
  <r>
    <s v="ORD-044"/>
    <s v="2024-11-16"/>
    <x v="3"/>
    <x v="1"/>
    <s v="Washing Machine"/>
    <n v="232900"/>
    <n v="160100"/>
    <n v="7"/>
    <n v="0.313"/>
  </r>
  <r>
    <s v="ORD-045"/>
    <s v="2024-12-17"/>
    <x v="0"/>
    <x v="2"/>
    <s v="Hiking Boots"/>
    <n v="24200"/>
    <n v="13800"/>
    <n v="7"/>
    <n v="0.43"/>
  </r>
  <r>
    <s v="ORD-046"/>
    <s v="2025-01-18"/>
    <x v="1"/>
    <x v="3"/>
    <s v="Yoga Mat"/>
    <n v="3600"/>
    <n v="1700"/>
    <n v="3"/>
    <n v="0.52800000000000002"/>
  </r>
  <r>
    <s v="ORD-047"/>
    <s v="2025-02-19"/>
    <x v="2"/>
    <x v="4"/>
    <s v="Multivitamin"/>
    <n v="1700"/>
    <n v="800"/>
    <n v="2"/>
    <n v="0.52900000000000003"/>
  </r>
  <r>
    <s v="ORD-048"/>
    <s v="2025-03-20"/>
    <x v="3"/>
    <x v="5"/>
    <s v="Bookshelf"/>
    <n v="9300"/>
    <n v="5800"/>
    <n v="2"/>
    <n v="0.376"/>
  </r>
  <r>
    <s v="ORD-049"/>
    <s v="2024-04-21"/>
    <x v="0"/>
    <x v="0"/>
    <s v="Smart TV 55&quot;"/>
    <n v="88000"/>
    <n v="58700"/>
    <n v="3"/>
    <n v="0.33300000000000002"/>
  </r>
  <r>
    <s v="ORD-050"/>
    <s v="2024-05-22"/>
    <x v="1"/>
    <x v="1"/>
    <s v="Washing Machine"/>
    <n v="226200"/>
    <n v="155500"/>
    <n v="7"/>
    <n v="0.313"/>
  </r>
  <r>
    <s v="ORD-051"/>
    <s v="2024-06-23"/>
    <x v="2"/>
    <x v="2"/>
    <s v="Hiking Boots"/>
    <n v="24200"/>
    <n v="13800"/>
    <n v="7"/>
    <n v="0.43"/>
  </r>
  <r>
    <s v="ORD-052"/>
    <s v="2024-07-24"/>
    <x v="3"/>
    <x v="3"/>
    <s v="Yoga Mat"/>
    <n v="9600"/>
    <n v="4400"/>
    <n v="8"/>
    <n v="0.54200000000000004"/>
  </r>
  <r>
    <s v="ORD-053"/>
    <s v="2024-08-25"/>
    <x v="0"/>
    <x v="4"/>
    <s v="Multivitamin"/>
    <n v="900"/>
    <n v="400"/>
    <n v="1"/>
    <n v="0.55600000000000005"/>
  </r>
  <r>
    <s v="ORD-054"/>
    <s v="2024-09-26"/>
    <x v="1"/>
    <x v="5"/>
    <s v="Bookshelf"/>
    <n v="9800"/>
    <n v="6100"/>
    <n v="2"/>
    <n v="0.378"/>
  </r>
  <r>
    <s v="ORD-055"/>
    <s v="2024-10-27"/>
    <x v="2"/>
    <x v="0"/>
    <s v="Smart TV 55&quot;"/>
    <n v="146300"/>
    <n v="97600"/>
    <n v="5"/>
    <n v="0.33300000000000002"/>
  </r>
  <r>
    <s v="ORD-056"/>
    <s v="2024-11-28"/>
    <x v="3"/>
    <x v="1"/>
    <s v="Washing Machine"/>
    <n v="184500"/>
    <n v="126900"/>
    <n v="6"/>
    <n v="0.312"/>
  </r>
  <r>
    <s v="ORD-057"/>
    <s v="2024-12-01"/>
    <x v="0"/>
    <x v="2"/>
    <s v="Hiking Boots"/>
    <n v="23700"/>
    <n v="13500"/>
    <n v="7"/>
    <n v="0.43"/>
  </r>
  <r>
    <s v="ORD-058"/>
    <s v="2025-01-02"/>
    <x v="1"/>
    <x v="3"/>
    <s v="Yoga Mat"/>
    <n v="1300"/>
    <n v="600"/>
    <n v="1"/>
    <n v="0.53800000000000003"/>
  </r>
  <r>
    <s v="ORD-059"/>
    <s v="2025-02-03"/>
    <x v="2"/>
    <x v="4"/>
    <s v="Multivitamin"/>
    <n v="4500"/>
    <n v="2100"/>
    <n v="5"/>
    <n v="0.53300000000000003"/>
  </r>
  <r>
    <s v="ORD-060"/>
    <s v="2025-03-04"/>
    <x v="3"/>
    <x v="5"/>
    <s v="Bookshelf"/>
    <n v="14400"/>
    <n v="9000"/>
    <n v="3"/>
    <n v="0.375"/>
  </r>
  <r>
    <s v="ORD-061"/>
    <s v="2024-04-05"/>
    <x v="0"/>
    <x v="0"/>
    <s v="Smart TV 55&quot;"/>
    <n v="59100"/>
    <n v="39400"/>
    <n v="2"/>
    <n v="0.33300000000000002"/>
  </r>
  <r>
    <s v="ORD-062"/>
    <s v="2024-05-06"/>
    <x v="1"/>
    <x v="1"/>
    <s v="Washing Machine"/>
    <n v="165500"/>
    <n v="113800"/>
    <n v="5"/>
    <n v="0.312"/>
  </r>
  <r>
    <s v="ORD-063"/>
    <s v="2024-06-07"/>
    <x v="2"/>
    <x v="2"/>
    <s v="Hiking Boots"/>
    <n v="13500"/>
    <n v="7700"/>
    <n v="4"/>
    <n v="0.43"/>
  </r>
  <r>
    <s v="ORD-064"/>
    <s v="2024-07-08"/>
    <x v="3"/>
    <x v="3"/>
    <s v="Yoga Mat"/>
    <n v="3600"/>
    <n v="1700"/>
    <n v="3"/>
    <n v="0.52800000000000002"/>
  </r>
  <r>
    <s v="ORD-065"/>
    <s v="2024-08-09"/>
    <x v="0"/>
    <x v="4"/>
    <s v="Multivitamin"/>
    <n v="900"/>
    <n v="400"/>
    <n v="1"/>
    <n v="0.55600000000000005"/>
  </r>
  <r>
    <s v="ORD-066"/>
    <s v="2024-09-10"/>
    <x v="1"/>
    <x v="5"/>
    <s v="Bookshelf"/>
    <n v="36600"/>
    <n v="22800"/>
    <n v="8"/>
    <n v="0.377"/>
  </r>
  <r>
    <s v="ORD-067"/>
    <s v="2024-10-11"/>
    <x v="2"/>
    <x v="0"/>
    <s v="Smart TV 55&quot;"/>
    <n v="177500"/>
    <n v="118300"/>
    <n v="6"/>
    <n v="0.33400000000000002"/>
  </r>
  <r>
    <s v="ORD-068"/>
    <s v="2024-11-12"/>
    <x v="3"/>
    <x v="1"/>
    <s v="Washing Machine"/>
    <n v="155800"/>
    <n v="107100"/>
    <n v="5"/>
    <n v="0.313"/>
  </r>
  <r>
    <s v="ORD-069"/>
    <s v="2024-12-13"/>
    <x v="0"/>
    <x v="2"/>
    <s v="Hiking Boots"/>
    <n v="14500"/>
    <n v="8300"/>
    <n v="4"/>
    <n v="0.42799999999999999"/>
  </r>
  <r>
    <s v="ORD-070"/>
    <s v="2025-01-14"/>
    <x v="1"/>
    <x v="3"/>
    <s v="Yoga Mat"/>
    <n v="2300"/>
    <n v="1100"/>
    <n v="2"/>
    <n v="0.52200000000000002"/>
  </r>
  <r>
    <s v="ORD-071"/>
    <s v="2025-02-15"/>
    <x v="2"/>
    <x v="4"/>
    <s v="Multivitamin"/>
    <n v="7000"/>
    <n v="3300"/>
    <n v="8"/>
    <n v="0.52900000000000003"/>
  </r>
  <r>
    <s v="ORD-072"/>
    <s v="2025-03-16"/>
    <x v="3"/>
    <x v="5"/>
    <s v="Bookshelf"/>
    <n v="13900"/>
    <n v="8700"/>
    <n v="3"/>
    <n v="0.374"/>
  </r>
  <r>
    <s v="ORD-073"/>
    <s v="2024-04-17"/>
    <x v="0"/>
    <x v="0"/>
    <s v="Smart TV 55&quot;"/>
    <n v="238200"/>
    <n v="158800"/>
    <n v="8"/>
    <n v="0.33300000000000002"/>
  </r>
  <r>
    <s v="ORD-074"/>
    <s v="2024-05-18"/>
    <x v="1"/>
    <x v="1"/>
    <s v="Washing Machine"/>
    <n v="93700"/>
    <n v="64400"/>
    <n v="3"/>
    <n v="0.313"/>
  </r>
  <r>
    <s v="ORD-075"/>
    <s v="2024-06-19"/>
    <x v="2"/>
    <x v="2"/>
    <s v="Hiking Boots"/>
    <n v="25600"/>
    <n v="14700"/>
    <n v="7"/>
    <n v="0.42599999999999999"/>
  </r>
  <r>
    <s v="ORD-076"/>
    <s v="2024-07-20"/>
    <x v="3"/>
    <x v="3"/>
    <s v="Yoga Mat"/>
    <n v="4900"/>
    <n v="2200"/>
    <n v="4"/>
    <n v="0.55100000000000005"/>
  </r>
  <r>
    <s v="ORD-077"/>
    <s v="2024-08-21"/>
    <x v="0"/>
    <x v="4"/>
    <s v="Multivitamin"/>
    <n v="6200"/>
    <n v="2900"/>
    <n v="7"/>
    <n v="0.53200000000000003"/>
  </r>
  <r>
    <s v="ORD-078"/>
    <s v="2024-09-22"/>
    <x v="1"/>
    <x v="5"/>
    <s v="Bookshelf"/>
    <n v="28600"/>
    <n v="17900"/>
    <n v="6"/>
    <n v="0.374"/>
  </r>
  <r>
    <s v="ORD-079"/>
    <s v="2024-10-23"/>
    <x v="2"/>
    <x v="0"/>
    <s v="Smart TV 55&quot;"/>
    <n v="219400"/>
    <n v="146200"/>
    <n v="8"/>
    <n v="0.33400000000000002"/>
  </r>
  <r>
    <s v="ORD-080"/>
    <s v="2024-11-24"/>
    <x v="3"/>
    <x v="1"/>
    <s v="Washing Machine"/>
    <n v="122400"/>
    <n v="84200"/>
    <n v="4"/>
    <n v="0.312"/>
  </r>
  <r>
    <s v="ORD-081"/>
    <s v="2024-12-25"/>
    <x v="0"/>
    <x v="2"/>
    <s v="Hiking Boots"/>
    <n v="3500"/>
    <n v="2000"/>
    <n v="1"/>
    <n v="0.42899999999999999"/>
  </r>
  <r>
    <s v="ORD-082"/>
    <s v="2025-01-26"/>
    <x v="1"/>
    <x v="3"/>
    <s v="Yoga Mat"/>
    <n v="4800"/>
    <n v="2200"/>
    <n v="4"/>
    <n v="0.54200000000000004"/>
  </r>
  <r>
    <s v="ORD-083"/>
    <s v="2025-02-27"/>
    <x v="2"/>
    <x v="4"/>
    <s v="Multivitamin"/>
    <n v="800"/>
    <n v="400"/>
    <n v="1"/>
    <n v="0.5"/>
  </r>
  <r>
    <s v="ORD-084"/>
    <s v="2025-03-28"/>
    <x v="3"/>
    <x v="5"/>
    <s v="Bookshelf"/>
    <n v="4700"/>
    <n v="2900"/>
    <n v="1"/>
    <n v="0.38300000000000001"/>
  </r>
  <r>
    <s v="ORD-085"/>
    <s v="2024-04-01"/>
    <x v="0"/>
    <x v="0"/>
    <s v="Smart TV 55&quot;"/>
    <n v="29500"/>
    <n v="19700"/>
    <n v="1"/>
    <n v="0.33200000000000002"/>
  </r>
  <r>
    <s v="ORD-086"/>
    <s v="2024-05-02"/>
    <x v="1"/>
    <x v="1"/>
    <s v="Washing Machine"/>
    <n v="64100"/>
    <n v="44100"/>
    <n v="2"/>
    <n v="0.312"/>
  </r>
  <r>
    <s v="ORD-087"/>
    <s v="2024-06-03"/>
    <x v="2"/>
    <x v="2"/>
    <s v="Hiking Boots"/>
    <n v="17800"/>
    <n v="10200"/>
    <n v="5"/>
    <n v="0.42699999999999999"/>
  </r>
  <r>
    <s v="ORD-088"/>
    <s v="2024-07-04"/>
    <x v="3"/>
    <x v="3"/>
    <s v="Yoga Mat"/>
    <n v="4800"/>
    <n v="2200"/>
    <n v="4"/>
    <n v="0.54200000000000004"/>
  </r>
  <r>
    <s v="ORD-089"/>
    <s v="2024-08-05"/>
    <x v="0"/>
    <x v="4"/>
    <s v="Multivitamin"/>
    <n v="6600"/>
    <n v="3100"/>
    <n v="8"/>
    <n v="0.53"/>
  </r>
  <r>
    <s v="ORD-090"/>
    <s v="2024-09-06"/>
    <x v="1"/>
    <x v="5"/>
    <s v="Bookshelf"/>
    <n v="39600"/>
    <n v="24700"/>
    <n v="8"/>
    <n v="0.376"/>
  </r>
  <r>
    <s v="ORD-091"/>
    <s v="2024-10-07"/>
    <x v="2"/>
    <x v="0"/>
    <s v="Smart TV 55&quot;"/>
    <n v="109400"/>
    <n v="72900"/>
    <n v="4"/>
    <n v="0.33400000000000002"/>
  </r>
  <r>
    <s v="ORD-092"/>
    <s v="2024-11-08"/>
    <x v="3"/>
    <x v="1"/>
    <s v="Washing Machine"/>
    <n v="220700"/>
    <n v="151800"/>
    <n v="7"/>
    <n v="0.312"/>
  </r>
  <r>
    <s v="ORD-093"/>
    <s v="2024-12-09"/>
    <x v="0"/>
    <x v="2"/>
    <s v="Hiking Boots"/>
    <n v="24400"/>
    <n v="14000"/>
    <n v="7"/>
    <n v="0.42599999999999999"/>
  </r>
  <r>
    <s v="ORD-094"/>
    <s v="2025-01-10"/>
    <x v="1"/>
    <x v="3"/>
    <s v="Yoga Mat"/>
    <n v="1200"/>
    <n v="600"/>
    <n v="1"/>
    <n v="0.5"/>
  </r>
  <r>
    <s v="ORD-095"/>
    <s v="2025-02-11"/>
    <x v="2"/>
    <x v="4"/>
    <s v="Multivitamin"/>
    <n v="1600"/>
    <n v="800"/>
    <n v="2"/>
    <n v="0.5"/>
  </r>
  <r>
    <s v="ORD-096"/>
    <s v="2025-03-12"/>
    <x v="3"/>
    <x v="5"/>
    <s v="Bookshelf"/>
    <n v="29700"/>
    <n v="18500"/>
    <n v="6"/>
    <n v="0.377"/>
  </r>
  <r>
    <s v="ORD-097"/>
    <s v="2024-04-13"/>
    <x v="0"/>
    <x v="0"/>
    <s v="Smart TV 55&quot;"/>
    <n v="55600"/>
    <n v="37000"/>
    <n v="2"/>
    <n v="0.33500000000000002"/>
  </r>
  <r>
    <s v="ORD-098"/>
    <s v="2024-05-14"/>
    <x v="1"/>
    <x v="1"/>
    <s v="Washing Machine"/>
    <n v="128500"/>
    <n v="88300"/>
    <n v="4"/>
    <n v="0.313"/>
  </r>
  <r>
    <s v="ORD-099"/>
    <s v="2024-06-15"/>
    <x v="2"/>
    <x v="2"/>
    <s v="Hiking Boots"/>
    <n v="10400"/>
    <n v="6000"/>
    <n v="3"/>
    <n v="0.42299999999999999"/>
  </r>
  <r>
    <s v="ORD-100"/>
    <s v="2024-07-16"/>
    <x v="3"/>
    <x v="3"/>
    <s v="Yoga Mat"/>
    <n v="6000"/>
    <n v="2700"/>
    <n v="5"/>
    <n v="0.55000000000000004"/>
  </r>
  <r>
    <s v="ORD-101"/>
    <s v="2024-08-17"/>
    <x v="0"/>
    <x v="4"/>
    <s v="Multivitamin"/>
    <n v="1700"/>
    <n v="800"/>
    <n v="2"/>
    <n v="0.52900000000000003"/>
  </r>
  <r>
    <s v="ORD-102"/>
    <s v="2024-09-18"/>
    <x v="1"/>
    <x v="5"/>
    <s v="Bookshelf"/>
    <n v="9200"/>
    <n v="5700"/>
    <n v="2"/>
    <n v="0.38"/>
  </r>
  <r>
    <s v="ORD-103"/>
    <s v="2024-10-19"/>
    <x v="2"/>
    <x v="0"/>
    <s v="Smart TV 55&quot;"/>
    <n v="29800"/>
    <n v="19900"/>
    <n v="1"/>
    <n v="0.33200000000000002"/>
  </r>
  <r>
    <s v="ORD-104"/>
    <s v="2024-11-20"/>
    <x v="3"/>
    <x v="1"/>
    <s v="Washing Machine"/>
    <n v="123700"/>
    <n v="85100"/>
    <n v="4"/>
    <n v="0.312"/>
  </r>
  <r>
    <s v="ORD-105"/>
    <s v="2024-12-21"/>
    <x v="0"/>
    <x v="2"/>
    <s v="Hiking Boots"/>
    <n v="27900"/>
    <n v="16000"/>
    <n v="8"/>
    <n v="0.42699999999999999"/>
  </r>
  <r>
    <s v="ORD-106"/>
    <s v="2025-01-22"/>
    <x v="1"/>
    <x v="3"/>
    <s v="Yoga Mat"/>
    <n v="8700"/>
    <n v="4000"/>
    <n v="7"/>
    <n v="0.54"/>
  </r>
  <r>
    <s v="ORD-107"/>
    <s v="2025-02-23"/>
    <x v="2"/>
    <x v="4"/>
    <s v="Multivitamin"/>
    <n v="2500"/>
    <n v="1200"/>
    <n v="3"/>
    <n v="0.52"/>
  </r>
  <r>
    <s v="ORD-108"/>
    <s v="2025-03-24"/>
    <x v="3"/>
    <x v="5"/>
    <s v="Bookshelf"/>
    <n v="32800"/>
    <n v="20500"/>
    <n v="7"/>
    <n v="0.375"/>
  </r>
  <r>
    <s v="ORD-109"/>
    <s v="2024-04-25"/>
    <x v="0"/>
    <x v="0"/>
    <s v="Smart TV 55&quot;"/>
    <n v="223100"/>
    <n v="148700"/>
    <n v="8"/>
    <n v="0.33300000000000002"/>
  </r>
  <r>
    <s v="ORD-110"/>
    <s v="2024-05-26"/>
    <x v="1"/>
    <x v="1"/>
    <s v="Washing Machine"/>
    <n v="247200"/>
    <n v="169900"/>
    <n v="8"/>
    <n v="0.313"/>
  </r>
  <r>
    <s v="ORD-111"/>
    <s v="2024-06-27"/>
    <x v="2"/>
    <x v="2"/>
    <s v="Hiking Boots"/>
    <n v="17000"/>
    <n v="9700"/>
    <n v="5"/>
    <n v="0.42899999999999999"/>
  </r>
  <r>
    <s v="ORD-112"/>
    <s v="2024-07-28"/>
    <x v="3"/>
    <x v="3"/>
    <s v="Yoga Mat"/>
    <n v="1200"/>
    <n v="600"/>
    <n v="1"/>
    <n v="0.5"/>
  </r>
  <r>
    <s v="ORD-113"/>
    <s v="2024-08-01"/>
    <x v="0"/>
    <x v="4"/>
    <s v="Multivitamin"/>
    <n v="900"/>
    <n v="400"/>
    <n v="1"/>
    <n v="0.55600000000000005"/>
  </r>
  <r>
    <s v="ORD-114"/>
    <s v="2024-09-02"/>
    <x v="1"/>
    <x v="5"/>
    <s v="Bookshelf"/>
    <n v="4600"/>
    <n v="2900"/>
    <n v="1"/>
    <n v="0.37"/>
  </r>
  <r>
    <s v="ORD-115"/>
    <s v="2024-10-03"/>
    <x v="2"/>
    <x v="0"/>
    <s v="Smart TV 55&quot;"/>
    <n v="228100"/>
    <n v="152000"/>
    <n v="8"/>
    <n v="0.33400000000000002"/>
  </r>
  <r>
    <s v="ORD-116"/>
    <s v="2024-11-04"/>
    <x v="3"/>
    <x v="1"/>
    <s v="Washing Machine"/>
    <n v="91700"/>
    <n v="63100"/>
    <n v="3"/>
    <n v="0.312"/>
  </r>
  <r>
    <s v="ORD-117"/>
    <s v="2024-12-05"/>
    <x v="0"/>
    <x v="2"/>
    <s v="Hiking Boots"/>
    <n v="7200"/>
    <n v="4100"/>
    <n v="2"/>
    <n v="0.43099999999999999"/>
  </r>
  <r>
    <s v="ORD-118"/>
    <s v="2025-01-06"/>
    <x v="1"/>
    <x v="3"/>
    <s v="Yoga Mat"/>
    <n v="2400"/>
    <n v="1100"/>
    <n v="2"/>
    <n v="0.54200000000000004"/>
  </r>
  <r>
    <s v="ORD-119"/>
    <s v="2025-02-07"/>
    <x v="2"/>
    <x v="4"/>
    <s v="Multivitamin"/>
    <n v="3400"/>
    <n v="1600"/>
    <n v="4"/>
    <n v="0.52900000000000003"/>
  </r>
  <r>
    <s v="ORD-120"/>
    <s v="2025-03-08"/>
    <x v="3"/>
    <x v="5"/>
    <s v="Bookshelf"/>
    <n v="19400"/>
    <n v="12100"/>
    <n v="4"/>
    <n v="0.3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1210E-54EA-4EA6-9D5B-7787F27483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10" firstHeaderRow="0" firstDataRow="1" firstDataCol="1"/>
  <pivotFields count="9">
    <pivotField dataField="1" showAll="0"/>
    <pivotField showAll="0"/>
    <pivotField showAll="0">
      <items count="5">
        <item x="2"/>
        <item x="0"/>
        <item x="1"/>
        <item x="3"/>
        <item t="default"/>
      </items>
    </pivotField>
    <pivotField axis="axisRow" showAll="0">
      <items count="7">
        <item x="1"/>
        <item x="0"/>
        <item x="3"/>
        <item x="2"/>
        <item x="5"/>
        <item x="4"/>
        <item t="default"/>
      </items>
    </pivotField>
    <pivotField showAll="0"/>
    <pivotField dataField="1" numFmtId="3" showAll="0"/>
    <pivotField numFmtId="3" showAll="0"/>
    <pivotField showAll="0"/>
    <pivotField numFmtId="164" showAll="0"/>
  </pivotFields>
  <rowFields count="1">
    <field x="3"/>
  </rowFields>
  <rowItems count="7">
    <i>
      <x/>
    </i>
    <i>
      <x v="1"/>
    </i>
    <i>
      <x v="2"/>
    </i>
    <i>
      <x v="3"/>
    </i>
    <i>
      <x v="4"/>
    </i>
    <i>
      <x v="5"/>
    </i>
    <i t="grand">
      <x/>
    </i>
  </rowItems>
  <colFields count="1">
    <field x="-2"/>
  </colFields>
  <colItems count="2">
    <i>
      <x/>
    </i>
    <i i="1">
      <x v="1"/>
    </i>
  </colItems>
  <dataFields count="2">
    <dataField name="Sum of Revenue (₹)" fld="5" baseField="0" baseItem="0" numFmtId="3"/>
    <dataField name="Count of Order ID" fld="0" subtotal="count" baseField="0" baseItem="0"/>
  </dataFields>
  <chartFormats count="14">
    <chartFormat chart="0" format="18" series="1">
      <pivotArea type="data" outline="0" fieldPosition="0">
        <references count="1">
          <reference field="3" count="1" selected="0">
            <x v="0"/>
          </reference>
        </references>
      </pivotArea>
    </chartFormat>
    <chartFormat chart="0" format="19" series="1">
      <pivotArea type="data" outline="0" fieldPosition="0">
        <references count="1">
          <reference field="3" count="1" selected="0">
            <x v="1"/>
          </reference>
        </references>
      </pivotArea>
    </chartFormat>
    <chartFormat chart="0" format="20" series="1">
      <pivotArea type="data" outline="0" fieldPosition="0">
        <references count="1">
          <reference field="3" count="1" selected="0">
            <x v="2"/>
          </reference>
        </references>
      </pivotArea>
    </chartFormat>
    <chartFormat chart="0" format="21" series="1">
      <pivotArea type="data" outline="0" fieldPosition="0">
        <references count="1">
          <reference field="3" count="1" selected="0">
            <x v="3"/>
          </reference>
        </references>
      </pivotArea>
    </chartFormat>
    <chartFormat chart="0" format="22" series="1">
      <pivotArea type="data" outline="0" fieldPosition="0">
        <references count="1">
          <reference field="3" count="1" selected="0">
            <x v="4"/>
          </reference>
        </references>
      </pivotArea>
    </chartFormat>
    <chartFormat chart="0" format="23" series="1">
      <pivotArea type="data" outline="0" fieldPosition="0">
        <references count="1">
          <reference field="3" count="1" selected="0">
            <x v="5"/>
          </reference>
        </references>
      </pivotArea>
    </chartFormat>
    <chartFormat chart="0" format="24" series="1">
      <pivotArea type="data" outline="0" fieldPosition="0">
        <references count="2">
          <reference field="4294967294" count="1" selected="0">
            <x v="0"/>
          </reference>
          <reference field="3" count="1" selected="0">
            <x v="0"/>
          </reference>
        </references>
      </pivotArea>
    </chartFormat>
    <chartFormat chart="0" format="25" series="1">
      <pivotArea type="data" outline="0" fieldPosition="0">
        <references count="2">
          <reference field="4294967294" count="1" selected="0">
            <x v="0"/>
          </reference>
          <reference field="3" count="1" selected="0">
            <x v="1"/>
          </reference>
        </references>
      </pivotArea>
    </chartFormat>
    <chartFormat chart="0" format="26" series="1">
      <pivotArea type="data" outline="0" fieldPosition="0">
        <references count="2">
          <reference field="4294967294" count="1" selected="0">
            <x v="0"/>
          </reference>
          <reference field="3" count="1" selected="0">
            <x v="2"/>
          </reference>
        </references>
      </pivotArea>
    </chartFormat>
    <chartFormat chart="0" format="27" series="1">
      <pivotArea type="data" outline="0" fieldPosition="0">
        <references count="2">
          <reference field="4294967294" count="1" selected="0">
            <x v="0"/>
          </reference>
          <reference field="3" count="1" selected="0">
            <x v="3"/>
          </reference>
        </references>
      </pivotArea>
    </chartFormat>
    <chartFormat chart="0" format="28" series="1">
      <pivotArea type="data" outline="0" fieldPosition="0">
        <references count="2">
          <reference field="4294967294" count="1" selected="0">
            <x v="0"/>
          </reference>
          <reference field="3" count="1" selected="0">
            <x v="4"/>
          </reference>
        </references>
      </pivotArea>
    </chartFormat>
    <chartFormat chart="0" format="29" series="1">
      <pivotArea type="data" outline="0" fieldPosition="0">
        <references count="2">
          <reference field="4294967294" count="1" selected="0">
            <x v="0"/>
          </reference>
          <reference field="3" count="1" selected="0">
            <x v="5"/>
          </reference>
        </references>
      </pivotArea>
    </chartFormat>
    <chartFormat chart="0" format="30" series="1">
      <pivotArea type="data" outline="0" fieldPosition="0">
        <references count="1">
          <reference field="4294967294" count="1" selected="0">
            <x v="0"/>
          </reference>
        </references>
      </pivotArea>
    </chartFormat>
    <chartFormat chart="0" format="3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E8C142-E0A7-4D8F-ACE8-EEE63AB1E2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2:D29" firstHeaderRow="0" firstDataRow="1" firstDataCol="1"/>
  <pivotFields count="9">
    <pivotField dataField="1" showAll="0"/>
    <pivotField showAll="0"/>
    <pivotField showAll="0">
      <items count="5">
        <item x="2"/>
        <item x="0"/>
        <item x="1"/>
        <item x="3"/>
        <item t="default"/>
      </items>
    </pivotField>
    <pivotField axis="axisRow" showAll="0">
      <items count="7">
        <item x="1"/>
        <item x="0"/>
        <item x="3"/>
        <item x="2"/>
        <item x="5"/>
        <item x="4"/>
        <item t="default"/>
      </items>
    </pivotField>
    <pivotField showAll="0"/>
    <pivotField dataField="1" numFmtId="3" showAll="0"/>
    <pivotField numFmtId="3" showAll="0"/>
    <pivotField showAll="0"/>
    <pivotField numFmtId="164" showAll="0"/>
  </pivotFields>
  <rowFields count="1">
    <field x="3"/>
  </rowFields>
  <rowItems count="7">
    <i>
      <x/>
    </i>
    <i>
      <x v="1"/>
    </i>
    <i>
      <x v="2"/>
    </i>
    <i>
      <x v="3"/>
    </i>
    <i>
      <x v="4"/>
    </i>
    <i>
      <x v="5"/>
    </i>
    <i t="grand">
      <x/>
    </i>
  </rowItems>
  <colFields count="1">
    <field x="-2"/>
  </colFields>
  <colItems count="2">
    <i>
      <x/>
    </i>
    <i i="1">
      <x v="1"/>
    </i>
  </colItems>
  <dataFields count="2">
    <dataField name="Sum of Revenue (₹)" fld="5" baseField="0" baseItem="0" numFmtId="3"/>
    <dataField name="Count of Order ID" fld="0" subtotal="count" baseField="0" baseItem="0"/>
  </dataFields>
  <chartFormats count="16">
    <chartFormat chart="0" format="18" series="1">
      <pivotArea type="data" outline="0" fieldPosition="0">
        <references count="1">
          <reference field="3" count="1" selected="0">
            <x v="0"/>
          </reference>
        </references>
      </pivotArea>
    </chartFormat>
    <chartFormat chart="0" format="19" series="1">
      <pivotArea type="data" outline="0" fieldPosition="0">
        <references count="1">
          <reference field="3" count="1" selected="0">
            <x v="1"/>
          </reference>
        </references>
      </pivotArea>
    </chartFormat>
    <chartFormat chart="0" format="20" series="1">
      <pivotArea type="data" outline="0" fieldPosition="0">
        <references count="1">
          <reference field="3" count="1" selected="0">
            <x v="2"/>
          </reference>
        </references>
      </pivotArea>
    </chartFormat>
    <chartFormat chart="0" format="21" series="1">
      <pivotArea type="data" outline="0" fieldPosition="0">
        <references count="1">
          <reference field="3" count="1" selected="0">
            <x v="3"/>
          </reference>
        </references>
      </pivotArea>
    </chartFormat>
    <chartFormat chart="0" format="22" series="1">
      <pivotArea type="data" outline="0" fieldPosition="0">
        <references count="1">
          <reference field="3" count="1" selected="0">
            <x v="4"/>
          </reference>
        </references>
      </pivotArea>
    </chartFormat>
    <chartFormat chart="0" format="23" series="1">
      <pivotArea type="data" outline="0" fieldPosition="0">
        <references count="1">
          <reference field="3" count="1" selected="0">
            <x v="5"/>
          </reference>
        </references>
      </pivotArea>
    </chartFormat>
    <chartFormat chart="0" format="24" series="1">
      <pivotArea type="data" outline="0" fieldPosition="0">
        <references count="2">
          <reference field="4294967294" count="1" selected="0">
            <x v="0"/>
          </reference>
          <reference field="3" count="1" selected="0">
            <x v="0"/>
          </reference>
        </references>
      </pivotArea>
    </chartFormat>
    <chartFormat chart="0" format="25" series="1">
      <pivotArea type="data" outline="0" fieldPosition="0">
        <references count="2">
          <reference field="4294967294" count="1" selected="0">
            <x v="0"/>
          </reference>
          <reference field="3" count="1" selected="0">
            <x v="1"/>
          </reference>
        </references>
      </pivotArea>
    </chartFormat>
    <chartFormat chart="0" format="26" series="1">
      <pivotArea type="data" outline="0" fieldPosition="0">
        <references count="2">
          <reference field="4294967294" count="1" selected="0">
            <x v="0"/>
          </reference>
          <reference field="3" count="1" selected="0">
            <x v="2"/>
          </reference>
        </references>
      </pivotArea>
    </chartFormat>
    <chartFormat chart="0" format="27" series="1">
      <pivotArea type="data" outline="0" fieldPosition="0">
        <references count="2">
          <reference field="4294967294" count="1" selected="0">
            <x v="0"/>
          </reference>
          <reference field="3" count="1" selected="0">
            <x v="3"/>
          </reference>
        </references>
      </pivotArea>
    </chartFormat>
    <chartFormat chart="0" format="28" series="1">
      <pivotArea type="data" outline="0" fieldPosition="0">
        <references count="2">
          <reference field="4294967294" count="1" selected="0">
            <x v="0"/>
          </reference>
          <reference field="3" count="1" selected="0">
            <x v="4"/>
          </reference>
        </references>
      </pivotArea>
    </chartFormat>
    <chartFormat chart="0" format="29" series="1">
      <pivotArea type="data" outline="0" fieldPosition="0">
        <references count="2">
          <reference field="4294967294" count="1" selected="0">
            <x v="0"/>
          </reference>
          <reference field="3" count="1" selected="0">
            <x v="5"/>
          </reference>
        </references>
      </pivotArea>
    </chartFormat>
    <chartFormat chart="0" format="30" series="1">
      <pivotArea type="data" outline="0" fieldPosition="0">
        <references count="1">
          <reference field="4294967294" count="1" selected="0">
            <x v="0"/>
          </reference>
        </references>
      </pivotArea>
    </chartFormat>
    <chartFormat chart="0" format="3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AADBED-475F-4FB3-8A78-2A844F8B633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8:C13" firstHeaderRow="1" firstDataRow="1" firstDataCol="1"/>
  <pivotFields count="9">
    <pivotField showAll="0"/>
    <pivotField showAll="0"/>
    <pivotField axis="axisRow" showAll="0">
      <items count="5">
        <item x="2"/>
        <item x="0"/>
        <item x="1"/>
        <item x="3"/>
        <item t="default"/>
      </items>
    </pivotField>
    <pivotField showAll="0">
      <items count="7">
        <item x="1"/>
        <item x="0"/>
        <item x="3"/>
        <item x="2"/>
        <item x="5"/>
        <item x="4"/>
        <item t="default"/>
      </items>
    </pivotField>
    <pivotField showAll="0"/>
    <pivotField dataField="1" numFmtId="3" showAll="0"/>
    <pivotField numFmtId="3" showAll="0"/>
    <pivotField showAll="0"/>
    <pivotField numFmtId="164" showAll="0"/>
  </pivotFields>
  <rowFields count="1">
    <field x="2"/>
  </rowFields>
  <rowItems count="5">
    <i>
      <x/>
    </i>
    <i>
      <x v="1"/>
    </i>
    <i>
      <x v="2"/>
    </i>
    <i>
      <x v="3"/>
    </i>
    <i t="grand">
      <x/>
    </i>
  </rowItems>
  <colItems count="1">
    <i/>
  </colItems>
  <dataFields count="1">
    <dataField name="Sum of Revenue (₹)" fld="5" baseField="0" baseItem="0" numFmtId="3"/>
  </dataFields>
  <formats count="2">
    <format dxfId="1">
      <pivotArea collapsedLevelsAreSubtotals="1" fieldPosition="0">
        <references count="1">
          <reference field="2" count="0"/>
        </references>
      </pivotArea>
    </format>
    <format dxfId="0">
      <pivotArea dataOnly="0" labelOnly="1" fieldPosition="0">
        <references count="1">
          <reference field="2" count="0"/>
        </references>
      </pivotArea>
    </format>
  </formats>
  <chartFormats count="1">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82F3C4-2519-4511-8F91-690465CC33B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6:I42" firstHeaderRow="1" firstDataRow="2" firstDataCol="1"/>
  <pivotFields count="9">
    <pivotField showAll="0"/>
    <pivotField showAll="0"/>
    <pivotField axis="axisRow" showAll="0">
      <items count="5">
        <item x="2"/>
        <item x="0"/>
        <item x="1"/>
        <item x="3"/>
        <item t="default"/>
      </items>
    </pivotField>
    <pivotField axis="axisCol" showAll="0">
      <items count="7">
        <item x="1"/>
        <item x="0"/>
        <item x="3"/>
        <item x="2"/>
        <item x="5"/>
        <item x="4"/>
        <item t="default"/>
      </items>
    </pivotField>
    <pivotField showAll="0"/>
    <pivotField dataField="1" numFmtId="3" showAll="0"/>
    <pivotField numFmtId="3" showAll="0"/>
    <pivotField showAll="0"/>
    <pivotField numFmtId="164" showAll="0"/>
  </pivotFields>
  <rowFields count="1">
    <field x="2"/>
  </rowFields>
  <rowItems count="5">
    <i>
      <x/>
    </i>
    <i>
      <x v="1"/>
    </i>
    <i>
      <x v="2"/>
    </i>
    <i>
      <x v="3"/>
    </i>
    <i t="grand">
      <x/>
    </i>
  </rowItems>
  <colFields count="1">
    <field x="3"/>
  </colFields>
  <colItems count="7">
    <i>
      <x/>
    </i>
    <i>
      <x v="1"/>
    </i>
    <i>
      <x v="2"/>
    </i>
    <i>
      <x v="3"/>
    </i>
    <i>
      <x v="4"/>
    </i>
    <i>
      <x v="5"/>
    </i>
    <i t="grand">
      <x/>
    </i>
  </colItems>
  <dataFields count="1">
    <dataField name="Sum of Revenue (₹)" fld="5" baseField="0" baseItem="0" numFmtId="3"/>
  </dataFields>
  <chartFormats count="6">
    <chartFormat chart="0" format="18" series="1">
      <pivotArea type="data" outline="0" fieldPosition="0">
        <references count="1">
          <reference field="3" count="1" selected="0">
            <x v="0"/>
          </reference>
        </references>
      </pivotArea>
    </chartFormat>
    <chartFormat chart="0" format="19" series="1">
      <pivotArea type="data" outline="0" fieldPosition="0">
        <references count="1">
          <reference field="3" count="1" selected="0">
            <x v="1"/>
          </reference>
        </references>
      </pivotArea>
    </chartFormat>
    <chartFormat chart="0" format="20" series="1">
      <pivotArea type="data" outline="0" fieldPosition="0">
        <references count="1">
          <reference field="3" count="1" selected="0">
            <x v="2"/>
          </reference>
        </references>
      </pivotArea>
    </chartFormat>
    <chartFormat chart="0" format="21" series="1">
      <pivotArea type="data" outline="0" fieldPosition="0">
        <references count="1">
          <reference field="3" count="1" selected="0">
            <x v="3"/>
          </reference>
        </references>
      </pivotArea>
    </chartFormat>
    <chartFormat chart="0" format="22" series="1">
      <pivotArea type="data" outline="0" fieldPosition="0">
        <references count="1">
          <reference field="3" count="1" selected="0">
            <x v="4"/>
          </reference>
        </references>
      </pivotArea>
    </chartFormat>
    <chartFormat chart="0" format="23" series="1">
      <pivotArea type="data" outline="0" fieldPosition="0">
        <references count="1">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1C231C-A3E0-4D13-B287-D6A96E9B028F}" sourceName="Region">
  <pivotTables>
    <pivotTable tabId="7" name="PivotTable2"/>
    <pivotTable tabId="3" name="PivotTable3"/>
    <pivotTable tabId="3" name="PivotTable6"/>
    <pivotTable tabId="3" name="PivotTable1"/>
  </pivotTables>
  <data>
    <tabular pivotCacheId="1333717917">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88CCB90-B1C7-433F-8130-E4141FECB820}" sourceName="Category">
  <pivotTables>
    <pivotTable tabId="7" name="PivotTable2"/>
    <pivotTable tabId="3" name="PivotTable3"/>
    <pivotTable tabId="3" name="PivotTable6"/>
    <pivotTable tabId="3" name="PivotTable1"/>
  </pivotTables>
  <data>
    <tabular pivotCacheId="1333717917">
      <items count="6">
        <i x="1" s="1"/>
        <i x="0" s="1"/>
        <i x="3" s="1"/>
        <i x="2"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2B9824C-BF20-4421-98E2-1295CD3ABAC3}" cache="Slicer_Region" caption="Region" rowHeight="234950"/>
  <slicer name="Category" xr10:uid="{0F19116C-9E00-4A44-AAFB-C431939D02A8}"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01118C9-A357-46C3-8DED-662C97E9B5F1}" cache="Slicer_Region" caption="Region" rowHeight="234950"/>
  <slicer name="Category 1" xr10:uid="{0341E45C-553A-490E-9A7A-EF7BE6F08EB4}" cache="Slicer_Category" caption="Category"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60823-4541-4700-9D59-CE0E8DC0217F}">
  <dimension ref="A3:O10"/>
  <sheetViews>
    <sheetView workbookViewId="0">
      <selection activeCell="C6" sqref="A3:C10"/>
    </sheetView>
  </sheetViews>
  <sheetFormatPr defaultRowHeight="14.4" x14ac:dyDescent="0.3"/>
  <cols>
    <col min="1" max="1" width="12.5546875" bestFit="1" customWidth="1"/>
    <col min="2" max="2" width="17.77734375" bestFit="1" customWidth="1"/>
    <col min="3" max="3" width="15.88671875" bestFit="1" customWidth="1"/>
    <col min="4" max="4" width="6.6640625" bestFit="1" customWidth="1"/>
    <col min="5" max="5" width="8.88671875" bestFit="1" customWidth="1"/>
    <col min="6" max="6" width="8.6640625" bestFit="1" customWidth="1"/>
    <col min="7" max="7" width="8.5546875" bestFit="1" customWidth="1"/>
    <col min="8" max="8" width="10.77734375" bestFit="1" customWidth="1"/>
    <col min="9" max="9" width="10" bestFit="1" customWidth="1"/>
    <col min="10" max="10" width="6.6640625" bestFit="1" customWidth="1"/>
    <col min="12" max="12" width="8.6640625" bestFit="1" customWidth="1"/>
    <col min="13" max="13" width="8.5546875" bestFit="1" customWidth="1"/>
    <col min="14" max="14" width="22.5546875" bestFit="1" customWidth="1"/>
    <col min="15" max="15" width="18" bestFit="1" customWidth="1"/>
  </cols>
  <sheetData>
    <row r="3" spans="1:15" x14ac:dyDescent="0.3">
      <c r="A3" s="69" t="s">
        <v>390</v>
      </c>
      <c r="B3" t="s">
        <v>391</v>
      </c>
      <c r="C3" t="s">
        <v>397</v>
      </c>
    </row>
    <row r="4" spans="1:15" x14ac:dyDescent="0.3">
      <c r="A4" s="70" t="s">
        <v>19</v>
      </c>
      <c r="B4" s="71">
        <v>3296700</v>
      </c>
      <c r="C4" s="105">
        <v>20</v>
      </c>
    </row>
    <row r="5" spans="1:15" s="72" customFormat="1" x14ac:dyDescent="0.3">
      <c r="A5" s="70" t="s">
        <v>14</v>
      </c>
      <c r="B5" s="71">
        <v>2480300</v>
      </c>
      <c r="C5" s="105">
        <v>20</v>
      </c>
      <c r="D5"/>
      <c r="E5"/>
      <c r="F5"/>
      <c r="G5"/>
      <c r="H5"/>
      <c r="I5"/>
      <c r="J5"/>
      <c r="K5"/>
      <c r="L5"/>
      <c r="M5"/>
      <c r="N5"/>
      <c r="O5"/>
    </row>
    <row r="6" spans="1:15" s="72" customFormat="1" x14ac:dyDescent="0.3">
      <c r="A6" s="70" t="s">
        <v>29</v>
      </c>
      <c r="B6" s="71">
        <v>89000</v>
      </c>
      <c r="C6" s="105">
        <v>20</v>
      </c>
      <c r="D6"/>
      <c r="E6"/>
      <c r="F6"/>
      <c r="G6"/>
      <c r="H6"/>
      <c r="I6"/>
      <c r="J6"/>
      <c r="K6"/>
      <c r="L6"/>
      <c r="M6"/>
      <c r="N6"/>
      <c r="O6"/>
    </row>
    <row r="7" spans="1:15" s="72" customFormat="1" x14ac:dyDescent="0.3">
      <c r="A7" s="70" t="s">
        <v>24</v>
      </c>
      <c r="B7" s="71">
        <v>371900</v>
      </c>
      <c r="C7" s="105">
        <v>20</v>
      </c>
      <c r="D7"/>
      <c r="E7"/>
      <c r="F7"/>
      <c r="G7"/>
      <c r="H7"/>
      <c r="I7"/>
      <c r="J7"/>
      <c r="K7"/>
      <c r="L7"/>
      <c r="M7"/>
      <c r="N7"/>
      <c r="O7"/>
    </row>
    <row r="8" spans="1:15" s="72" customFormat="1" x14ac:dyDescent="0.3">
      <c r="A8" s="70" t="s">
        <v>37</v>
      </c>
      <c r="B8" s="71">
        <v>348100</v>
      </c>
      <c r="C8" s="105">
        <v>20</v>
      </c>
      <c r="D8"/>
      <c r="E8"/>
      <c r="F8"/>
      <c r="G8"/>
      <c r="H8"/>
      <c r="I8"/>
      <c r="J8"/>
      <c r="K8"/>
      <c r="L8"/>
      <c r="M8"/>
      <c r="N8"/>
      <c r="O8"/>
    </row>
    <row r="9" spans="1:15" x14ac:dyDescent="0.3">
      <c r="A9" s="70" t="s">
        <v>33</v>
      </c>
      <c r="B9" s="71">
        <v>58200</v>
      </c>
      <c r="C9" s="105">
        <v>20</v>
      </c>
    </row>
    <row r="10" spans="1:15" x14ac:dyDescent="0.3">
      <c r="A10" s="70" t="s">
        <v>268</v>
      </c>
      <c r="B10" s="71">
        <v>6644200</v>
      </c>
      <c r="C10" s="105">
        <v>120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I124"/>
  <sheetViews>
    <sheetView zoomScaleNormal="100" workbookViewId="0">
      <pane ySplit="4" topLeftCell="A104" activePane="bottomLeft" state="frozen"/>
      <selection pane="bottomLeft" activeCell="C109" sqref="C109"/>
    </sheetView>
  </sheetViews>
  <sheetFormatPr defaultColWidth="8.6640625" defaultRowHeight="14.4" x14ac:dyDescent="0.3"/>
  <cols>
    <col min="1" max="1" width="10" customWidth="1"/>
    <col min="2" max="2" width="14" customWidth="1"/>
    <col min="3" max="3" width="22" customWidth="1"/>
    <col min="4" max="4" width="16" customWidth="1"/>
    <col min="5" max="5" width="15.33203125" customWidth="1"/>
    <col min="6" max="6" width="14" customWidth="1"/>
    <col min="7" max="9" width="12" customWidth="1"/>
    <col min="10" max="10" width="3" customWidth="1"/>
  </cols>
  <sheetData>
    <row r="1" spans="1:9" ht="7.5" customHeight="1" x14ac:dyDescent="0.3"/>
    <row r="2" spans="1:9" ht="36" customHeight="1" x14ac:dyDescent="0.3">
      <c r="A2" s="88" t="s">
        <v>0</v>
      </c>
      <c r="B2" s="88"/>
      <c r="C2" s="88"/>
      <c r="D2" s="88"/>
      <c r="E2" s="88"/>
      <c r="F2" s="88"/>
      <c r="G2" s="88"/>
      <c r="H2" s="88"/>
      <c r="I2" s="88"/>
    </row>
    <row r="3" spans="1:9" ht="30" customHeight="1" x14ac:dyDescent="0.3">
      <c r="A3" s="84" t="s">
        <v>1</v>
      </c>
      <c r="B3" s="84"/>
      <c r="C3" s="84"/>
      <c r="D3" s="84"/>
      <c r="E3" s="84"/>
      <c r="F3" s="84"/>
      <c r="G3" s="84"/>
      <c r="H3" s="84"/>
      <c r="I3" s="84"/>
    </row>
    <row r="4" spans="1:9" ht="25.5" customHeight="1" x14ac:dyDescent="0.3">
      <c r="A4" s="2" t="s">
        <v>2</v>
      </c>
      <c r="B4" s="2" t="s">
        <v>3</v>
      </c>
      <c r="C4" s="2" t="s">
        <v>4</v>
      </c>
      <c r="D4" s="2" t="s">
        <v>5</v>
      </c>
      <c r="E4" s="2" t="s">
        <v>6</v>
      </c>
      <c r="F4" s="2" t="s">
        <v>7</v>
      </c>
      <c r="G4" s="2" t="s">
        <v>8</v>
      </c>
      <c r="H4" s="2" t="s">
        <v>9</v>
      </c>
      <c r="I4" s="2" t="s">
        <v>10</v>
      </c>
    </row>
    <row r="5" spans="1:9" x14ac:dyDescent="0.3">
      <c r="A5" s="3" t="s">
        <v>11</v>
      </c>
      <c r="B5" s="4" t="s">
        <v>12</v>
      </c>
      <c r="C5" s="4" t="s">
        <v>13</v>
      </c>
      <c r="D5" s="5" t="s">
        <v>14</v>
      </c>
      <c r="E5" s="5" t="s">
        <v>15</v>
      </c>
      <c r="F5" s="6">
        <v>54300</v>
      </c>
      <c r="G5" s="6">
        <v>36200</v>
      </c>
      <c r="H5" s="7">
        <v>2</v>
      </c>
      <c r="I5" s="8">
        <v>0.33300000000000002</v>
      </c>
    </row>
    <row r="6" spans="1:9" x14ac:dyDescent="0.3">
      <c r="A6" s="9" t="s">
        <v>16</v>
      </c>
      <c r="B6" s="10" t="s">
        <v>17</v>
      </c>
      <c r="C6" s="10" t="s">
        <v>18</v>
      </c>
      <c r="D6" s="11" t="s">
        <v>19</v>
      </c>
      <c r="E6" s="11" t="s">
        <v>20</v>
      </c>
      <c r="F6" s="12">
        <v>155900</v>
      </c>
      <c r="G6" s="12">
        <v>107200</v>
      </c>
      <c r="H6" s="13">
        <v>5</v>
      </c>
      <c r="I6" s="14">
        <v>0.312</v>
      </c>
    </row>
    <row r="7" spans="1:9" x14ac:dyDescent="0.3">
      <c r="A7" s="3" t="s">
        <v>21</v>
      </c>
      <c r="B7" s="4" t="s">
        <v>22</v>
      </c>
      <c r="C7" s="4" t="s">
        <v>23</v>
      </c>
      <c r="D7" s="5" t="s">
        <v>24</v>
      </c>
      <c r="E7" s="5" t="s">
        <v>25</v>
      </c>
      <c r="F7" s="6">
        <v>10700</v>
      </c>
      <c r="G7" s="6">
        <v>6100</v>
      </c>
      <c r="H7" s="7">
        <v>3</v>
      </c>
      <c r="I7" s="8">
        <v>0.43</v>
      </c>
    </row>
    <row r="8" spans="1:9" x14ac:dyDescent="0.3">
      <c r="A8" s="9" t="s">
        <v>26</v>
      </c>
      <c r="B8" s="10" t="s">
        <v>27</v>
      </c>
      <c r="C8" s="10" t="s">
        <v>28</v>
      </c>
      <c r="D8" s="11" t="s">
        <v>29</v>
      </c>
      <c r="E8" s="11" t="s">
        <v>30</v>
      </c>
      <c r="F8" s="12">
        <v>2400</v>
      </c>
      <c r="G8" s="12">
        <v>1100</v>
      </c>
      <c r="H8" s="13">
        <v>2</v>
      </c>
      <c r="I8" s="14">
        <v>0.54200000000000004</v>
      </c>
    </row>
    <row r="9" spans="1:9" x14ac:dyDescent="0.3">
      <c r="A9" s="3" t="s">
        <v>31</v>
      </c>
      <c r="B9" s="4" t="s">
        <v>32</v>
      </c>
      <c r="C9" s="4" t="s">
        <v>13</v>
      </c>
      <c r="D9" s="5" t="s">
        <v>33</v>
      </c>
      <c r="E9" s="5" t="s">
        <v>34</v>
      </c>
      <c r="F9" s="6">
        <v>800</v>
      </c>
      <c r="G9" s="6">
        <v>400</v>
      </c>
      <c r="H9" s="7">
        <v>1</v>
      </c>
      <c r="I9" s="8">
        <v>0.5</v>
      </c>
    </row>
    <row r="10" spans="1:9" x14ac:dyDescent="0.3">
      <c r="A10" s="9" t="s">
        <v>35</v>
      </c>
      <c r="B10" s="10" t="s">
        <v>36</v>
      </c>
      <c r="C10" s="10" t="s">
        <v>18</v>
      </c>
      <c r="D10" s="11" t="s">
        <v>37</v>
      </c>
      <c r="E10" s="11" t="s">
        <v>38</v>
      </c>
      <c r="F10" s="12">
        <v>18700</v>
      </c>
      <c r="G10" s="12">
        <v>11700</v>
      </c>
      <c r="H10" s="13">
        <v>4</v>
      </c>
      <c r="I10" s="14">
        <v>0.374</v>
      </c>
    </row>
    <row r="11" spans="1:9" x14ac:dyDescent="0.3">
      <c r="A11" s="3" t="s">
        <v>39</v>
      </c>
      <c r="B11" s="4" t="s">
        <v>40</v>
      </c>
      <c r="C11" s="4" t="s">
        <v>23</v>
      </c>
      <c r="D11" s="5" t="s">
        <v>14</v>
      </c>
      <c r="E11" s="5" t="s">
        <v>15</v>
      </c>
      <c r="F11" s="6">
        <v>28700</v>
      </c>
      <c r="G11" s="6">
        <v>19100</v>
      </c>
      <c r="H11" s="7">
        <v>1</v>
      </c>
      <c r="I11" s="8">
        <v>0.33400000000000002</v>
      </c>
    </row>
    <row r="12" spans="1:9" x14ac:dyDescent="0.3">
      <c r="A12" s="9" t="s">
        <v>41</v>
      </c>
      <c r="B12" s="10" t="s">
        <v>42</v>
      </c>
      <c r="C12" s="10" t="s">
        <v>28</v>
      </c>
      <c r="D12" s="11" t="s">
        <v>19</v>
      </c>
      <c r="E12" s="11" t="s">
        <v>20</v>
      </c>
      <c r="F12" s="12">
        <v>217700</v>
      </c>
      <c r="G12" s="12">
        <v>149700</v>
      </c>
      <c r="H12" s="13">
        <v>7</v>
      </c>
      <c r="I12" s="14">
        <v>0.312</v>
      </c>
    </row>
    <row r="13" spans="1:9" x14ac:dyDescent="0.3">
      <c r="A13" s="3" t="s">
        <v>43</v>
      </c>
      <c r="B13" s="4" t="s">
        <v>44</v>
      </c>
      <c r="C13" s="4" t="s">
        <v>13</v>
      </c>
      <c r="D13" s="5" t="s">
        <v>24</v>
      </c>
      <c r="E13" s="5" t="s">
        <v>25</v>
      </c>
      <c r="F13" s="6">
        <v>18000</v>
      </c>
      <c r="G13" s="6">
        <v>10300</v>
      </c>
      <c r="H13" s="7">
        <v>5</v>
      </c>
      <c r="I13" s="8">
        <v>0.42799999999999999</v>
      </c>
    </row>
    <row r="14" spans="1:9" x14ac:dyDescent="0.3">
      <c r="A14" s="9" t="s">
        <v>45</v>
      </c>
      <c r="B14" s="10" t="s">
        <v>46</v>
      </c>
      <c r="C14" s="10" t="s">
        <v>18</v>
      </c>
      <c r="D14" s="11" t="s">
        <v>29</v>
      </c>
      <c r="E14" s="11" t="s">
        <v>30</v>
      </c>
      <c r="F14" s="12">
        <v>1200</v>
      </c>
      <c r="G14" s="12">
        <v>600</v>
      </c>
      <c r="H14" s="13">
        <v>1</v>
      </c>
      <c r="I14" s="14">
        <v>0.5</v>
      </c>
    </row>
    <row r="15" spans="1:9" x14ac:dyDescent="0.3">
      <c r="A15" s="3" t="s">
        <v>47</v>
      </c>
      <c r="B15" s="4" t="s">
        <v>48</v>
      </c>
      <c r="C15" s="4" t="s">
        <v>23</v>
      </c>
      <c r="D15" s="5" t="s">
        <v>33</v>
      </c>
      <c r="E15" s="5" t="s">
        <v>34</v>
      </c>
      <c r="F15" s="6">
        <v>2600</v>
      </c>
      <c r="G15" s="6">
        <v>1200</v>
      </c>
      <c r="H15" s="7">
        <v>3</v>
      </c>
      <c r="I15" s="8">
        <v>0.53800000000000003</v>
      </c>
    </row>
    <row r="16" spans="1:9" x14ac:dyDescent="0.3">
      <c r="A16" s="9" t="s">
        <v>49</v>
      </c>
      <c r="B16" s="10" t="s">
        <v>50</v>
      </c>
      <c r="C16" s="10" t="s">
        <v>28</v>
      </c>
      <c r="D16" s="11" t="s">
        <v>37</v>
      </c>
      <c r="E16" s="11" t="s">
        <v>38</v>
      </c>
      <c r="F16" s="12">
        <v>28200</v>
      </c>
      <c r="G16" s="12">
        <v>17600</v>
      </c>
      <c r="H16" s="13">
        <v>6</v>
      </c>
      <c r="I16" s="14">
        <v>0.376</v>
      </c>
    </row>
    <row r="17" spans="1:9" x14ac:dyDescent="0.3">
      <c r="A17" s="3" t="s">
        <v>51</v>
      </c>
      <c r="B17" s="4" t="s">
        <v>52</v>
      </c>
      <c r="C17" s="4" t="s">
        <v>13</v>
      </c>
      <c r="D17" s="5" t="s">
        <v>14</v>
      </c>
      <c r="E17" s="5" t="s">
        <v>15</v>
      </c>
      <c r="F17" s="6">
        <v>119200</v>
      </c>
      <c r="G17" s="6">
        <v>79500</v>
      </c>
      <c r="H17" s="7">
        <v>4</v>
      </c>
      <c r="I17" s="8">
        <v>0.33300000000000002</v>
      </c>
    </row>
    <row r="18" spans="1:9" x14ac:dyDescent="0.3">
      <c r="A18" s="9" t="s">
        <v>53</v>
      </c>
      <c r="B18" s="10" t="s">
        <v>54</v>
      </c>
      <c r="C18" s="10" t="s">
        <v>18</v>
      </c>
      <c r="D18" s="11" t="s">
        <v>19</v>
      </c>
      <c r="E18" s="11" t="s">
        <v>20</v>
      </c>
      <c r="F18" s="12">
        <v>184400</v>
      </c>
      <c r="G18" s="12">
        <v>126700</v>
      </c>
      <c r="H18" s="13">
        <v>6</v>
      </c>
      <c r="I18" s="14">
        <v>0.313</v>
      </c>
    </row>
    <row r="19" spans="1:9" x14ac:dyDescent="0.3">
      <c r="A19" s="3" t="s">
        <v>55</v>
      </c>
      <c r="B19" s="4" t="s">
        <v>56</v>
      </c>
      <c r="C19" s="4" t="s">
        <v>23</v>
      </c>
      <c r="D19" s="5" t="s">
        <v>24</v>
      </c>
      <c r="E19" s="5" t="s">
        <v>25</v>
      </c>
      <c r="F19" s="6">
        <v>23500</v>
      </c>
      <c r="G19" s="6">
        <v>13400</v>
      </c>
      <c r="H19" s="7">
        <v>7</v>
      </c>
      <c r="I19" s="8">
        <v>0.43</v>
      </c>
    </row>
    <row r="20" spans="1:9" x14ac:dyDescent="0.3">
      <c r="A20" s="9" t="s">
        <v>57</v>
      </c>
      <c r="B20" s="10" t="s">
        <v>58</v>
      </c>
      <c r="C20" s="10" t="s">
        <v>28</v>
      </c>
      <c r="D20" s="11" t="s">
        <v>29</v>
      </c>
      <c r="E20" s="11" t="s">
        <v>30</v>
      </c>
      <c r="F20" s="12">
        <v>7300</v>
      </c>
      <c r="G20" s="12">
        <v>3300</v>
      </c>
      <c r="H20" s="13">
        <v>6</v>
      </c>
      <c r="I20" s="14">
        <v>0.54800000000000004</v>
      </c>
    </row>
    <row r="21" spans="1:9" x14ac:dyDescent="0.3">
      <c r="A21" s="3" t="s">
        <v>59</v>
      </c>
      <c r="B21" s="4" t="s">
        <v>60</v>
      </c>
      <c r="C21" s="4" t="s">
        <v>13</v>
      </c>
      <c r="D21" s="5" t="s">
        <v>33</v>
      </c>
      <c r="E21" s="5" t="s">
        <v>34</v>
      </c>
      <c r="F21" s="6">
        <v>900</v>
      </c>
      <c r="G21" s="6">
        <v>400</v>
      </c>
      <c r="H21" s="7">
        <v>1</v>
      </c>
      <c r="I21" s="8">
        <v>0.55600000000000005</v>
      </c>
    </row>
    <row r="22" spans="1:9" x14ac:dyDescent="0.3">
      <c r="A22" s="9" t="s">
        <v>61</v>
      </c>
      <c r="B22" s="10" t="s">
        <v>62</v>
      </c>
      <c r="C22" s="10" t="s">
        <v>18</v>
      </c>
      <c r="D22" s="11" t="s">
        <v>37</v>
      </c>
      <c r="E22" s="11" t="s">
        <v>38</v>
      </c>
      <c r="F22" s="12">
        <v>10100</v>
      </c>
      <c r="G22" s="12">
        <v>6300</v>
      </c>
      <c r="H22" s="13">
        <v>2</v>
      </c>
      <c r="I22" s="14">
        <v>0.376</v>
      </c>
    </row>
    <row r="23" spans="1:9" x14ac:dyDescent="0.3">
      <c r="A23" s="3" t="s">
        <v>63</v>
      </c>
      <c r="B23" s="4" t="s">
        <v>64</v>
      </c>
      <c r="C23" s="4" t="s">
        <v>23</v>
      </c>
      <c r="D23" s="5" t="s">
        <v>14</v>
      </c>
      <c r="E23" s="5" t="s">
        <v>15</v>
      </c>
      <c r="F23" s="6">
        <v>191100</v>
      </c>
      <c r="G23" s="6">
        <v>127400</v>
      </c>
      <c r="H23" s="7">
        <v>7</v>
      </c>
      <c r="I23" s="8">
        <v>0.33300000000000002</v>
      </c>
    </row>
    <row r="24" spans="1:9" x14ac:dyDescent="0.3">
      <c r="A24" s="9" t="s">
        <v>65</v>
      </c>
      <c r="B24" s="10" t="s">
        <v>66</v>
      </c>
      <c r="C24" s="10" t="s">
        <v>28</v>
      </c>
      <c r="D24" s="11" t="s">
        <v>19</v>
      </c>
      <c r="E24" s="11" t="s">
        <v>20</v>
      </c>
      <c r="F24" s="12">
        <v>165300</v>
      </c>
      <c r="G24" s="12">
        <v>113600</v>
      </c>
      <c r="H24" s="13">
        <v>5</v>
      </c>
      <c r="I24" s="14">
        <v>0.313</v>
      </c>
    </row>
    <row r="25" spans="1:9" x14ac:dyDescent="0.3">
      <c r="A25" s="3" t="s">
        <v>67</v>
      </c>
      <c r="B25" s="4" t="s">
        <v>68</v>
      </c>
      <c r="C25" s="4" t="s">
        <v>13</v>
      </c>
      <c r="D25" s="5" t="s">
        <v>24</v>
      </c>
      <c r="E25" s="5" t="s">
        <v>25</v>
      </c>
      <c r="F25" s="6">
        <v>21200</v>
      </c>
      <c r="G25" s="6">
        <v>12100</v>
      </c>
      <c r="H25" s="7">
        <v>6</v>
      </c>
      <c r="I25" s="8">
        <v>0.42899999999999999</v>
      </c>
    </row>
    <row r="26" spans="1:9" x14ac:dyDescent="0.3">
      <c r="A26" s="9" t="s">
        <v>69</v>
      </c>
      <c r="B26" s="10" t="s">
        <v>70</v>
      </c>
      <c r="C26" s="10" t="s">
        <v>18</v>
      </c>
      <c r="D26" s="11" t="s">
        <v>29</v>
      </c>
      <c r="E26" s="11" t="s">
        <v>30</v>
      </c>
      <c r="F26" s="12">
        <v>2300</v>
      </c>
      <c r="G26" s="12">
        <v>1100</v>
      </c>
      <c r="H26" s="13">
        <v>2</v>
      </c>
      <c r="I26" s="14">
        <v>0.52200000000000002</v>
      </c>
    </row>
    <row r="27" spans="1:9" x14ac:dyDescent="0.3">
      <c r="A27" s="3" t="s">
        <v>71</v>
      </c>
      <c r="B27" s="4" t="s">
        <v>72</v>
      </c>
      <c r="C27" s="4" t="s">
        <v>23</v>
      </c>
      <c r="D27" s="5" t="s">
        <v>33</v>
      </c>
      <c r="E27" s="5" t="s">
        <v>34</v>
      </c>
      <c r="F27" s="6">
        <v>3500</v>
      </c>
      <c r="G27" s="6">
        <v>1600</v>
      </c>
      <c r="H27" s="7">
        <v>4</v>
      </c>
      <c r="I27" s="8">
        <v>0.54300000000000004</v>
      </c>
    </row>
    <row r="28" spans="1:9" x14ac:dyDescent="0.3">
      <c r="A28" s="9" t="s">
        <v>73</v>
      </c>
      <c r="B28" s="10" t="s">
        <v>74</v>
      </c>
      <c r="C28" s="10" t="s">
        <v>28</v>
      </c>
      <c r="D28" s="11" t="s">
        <v>37</v>
      </c>
      <c r="E28" s="11" t="s">
        <v>38</v>
      </c>
      <c r="F28" s="12">
        <v>9900</v>
      </c>
      <c r="G28" s="12">
        <v>6200</v>
      </c>
      <c r="H28" s="13">
        <v>2</v>
      </c>
      <c r="I28" s="14">
        <v>0.374</v>
      </c>
    </row>
    <row r="29" spans="1:9" x14ac:dyDescent="0.3">
      <c r="A29" s="3" t="s">
        <v>75</v>
      </c>
      <c r="B29" s="4" t="s">
        <v>76</v>
      </c>
      <c r="C29" s="4" t="s">
        <v>13</v>
      </c>
      <c r="D29" s="5" t="s">
        <v>14</v>
      </c>
      <c r="E29" s="5" t="s">
        <v>15</v>
      </c>
      <c r="F29" s="6">
        <v>56300</v>
      </c>
      <c r="G29" s="6">
        <v>37500</v>
      </c>
      <c r="H29" s="7">
        <v>2</v>
      </c>
      <c r="I29" s="8">
        <v>0.33400000000000002</v>
      </c>
    </row>
    <row r="30" spans="1:9" x14ac:dyDescent="0.3">
      <c r="A30" s="9" t="s">
        <v>77</v>
      </c>
      <c r="B30" s="10" t="s">
        <v>78</v>
      </c>
      <c r="C30" s="10" t="s">
        <v>18</v>
      </c>
      <c r="D30" s="11" t="s">
        <v>19</v>
      </c>
      <c r="E30" s="11" t="s">
        <v>20</v>
      </c>
      <c r="F30" s="12">
        <v>259500</v>
      </c>
      <c r="G30" s="12">
        <v>178400</v>
      </c>
      <c r="H30" s="13">
        <v>8</v>
      </c>
      <c r="I30" s="14">
        <v>0.313</v>
      </c>
    </row>
    <row r="31" spans="1:9" x14ac:dyDescent="0.3">
      <c r="A31" s="3" t="s">
        <v>79</v>
      </c>
      <c r="B31" s="4" t="s">
        <v>80</v>
      </c>
      <c r="C31" s="4" t="s">
        <v>23</v>
      </c>
      <c r="D31" s="5" t="s">
        <v>24</v>
      </c>
      <c r="E31" s="5" t="s">
        <v>25</v>
      </c>
      <c r="F31" s="6">
        <v>20300</v>
      </c>
      <c r="G31" s="6">
        <v>11600</v>
      </c>
      <c r="H31" s="7">
        <v>6</v>
      </c>
      <c r="I31" s="8">
        <v>0.42899999999999999</v>
      </c>
    </row>
    <row r="32" spans="1:9" x14ac:dyDescent="0.3">
      <c r="A32" s="9" t="s">
        <v>81</v>
      </c>
      <c r="B32" s="10" t="s">
        <v>82</v>
      </c>
      <c r="C32" s="10" t="s">
        <v>28</v>
      </c>
      <c r="D32" s="11" t="s">
        <v>29</v>
      </c>
      <c r="E32" s="11" t="s">
        <v>30</v>
      </c>
      <c r="F32" s="12">
        <v>7000</v>
      </c>
      <c r="G32" s="12">
        <v>3200</v>
      </c>
      <c r="H32" s="13">
        <v>6</v>
      </c>
      <c r="I32" s="14">
        <v>0.54300000000000004</v>
      </c>
    </row>
    <row r="33" spans="1:9" x14ac:dyDescent="0.3">
      <c r="A33" s="3" t="s">
        <v>83</v>
      </c>
      <c r="B33" s="4" t="s">
        <v>84</v>
      </c>
      <c r="C33" s="4" t="s">
        <v>13</v>
      </c>
      <c r="D33" s="5" t="s">
        <v>33</v>
      </c>
      <c r="E33" s="5" t="s">
        <v>34</v>
      </c>
      <c r="F33" s="6">
        <v>4300</v>
      </c>
      <c r="G33" s="6">
        <v>2000</v>
      </c>
      <c r="H33" s="7">
        <v>5</v>
      </c>
      <c r="I33" s="8">
        <v>0.53500000000000003</v>
      </c>
    </row>
    <row r="34" spans="1:9" x14ac:dyDescent="0.3">
      <c r="A34" s="9" t="s">
        <v>85</v>
      </c>
      <c r="B34" s="10" t="s">
        <v>86</v>
      </c>
      <c r="C34" s="10" t="s">
        <v>18</v>
      </c>
      <c r="D34" s="11" t="s">
        <v>37</v>
      </c>
      <c r="E34" s="11" t="s">
        <v>38</v>
      </c>
      <c r="F34" s="12">
        <v>9700</v>
      </c>
      <c r="G34" s="12">
        <v>6100</v>
      </c>
      <c r="H34" s="13">
        <v>2</v>
      </c>
      <c r="I34" s="14">
        <v>0.371</v>
      </c>
    </row>
    <row r="35" spans="1:9" x14ac:dyDescent="0.3">
      <c r="A35" s="3" t="s">
        <v>87</v>
      </c>
      <c r="B35" s="4" t="s">
        <v>88</v>
      </c>
      <c r="C35" s="4" t="s">
        <v>23</v>
      </c>
      <c r="D35" s="5" t="s">
        <v>14</v>
      </c>
      <c r="E35" s="5" t="s">
        <v>15</v>
      </c>
      <c r="F35" s="6">
        <v>85800</v>
      </c>
      <c r="G35" s="6">
        <v>57200</v>
      </c>
      <c r="H35" s="7">
        <v>3</v>
      </c>
      <c r="I35" s="8">
        <v>0.33300000000000002</v>
      </c>
    </row>
    <row r="36" spans="1:9" x14ac:dyDescent="0.3">
      <c r="A36" s="9" t="s">
        <v>89</v>
      </c>
      <c r="B36" s="10" t="s">
        <v>90</v>
      </c>
      <c r="C36" s="10" t="s">
        <v>28</v>
      </c>
      <c r="D36" s="11" t="s">
        <v>19</v>
      </c>
      <c r="E36" s="11" t="s">
        <v>20</v>
      </c>
      <c r="F36" s="12">
        <v>123700</v>
      </c>
      <c r="G36" s="12">
        <v>85000</v>
      </c>
      <c r="H36" s="13">
        <v>4</v>
      </c>
      <c r="I36" s="14">
        <v>0.313</v>
      </c>
    </row>
    <row r="37" spans="1:9" x14ac:dyDescent="0.3">
      <c r="A37" s="3" t="s">
        <v>91</v>
      </c>
      <c r="B37" s="4" t="s">
        <v>92</v>
      </c>
      <c r="C37" s="4" t="s">
        <v>13</v>
      </c>
      <c r="D37" s="5" t="s">
        <v>24</v>
      </c>
      <c r="E37" s="5" t="s">
        <v>25</v>
      </c>
      <c r="F37" s="6">
        <v>23900</v>
      </c>
      <c r="G37" s="6">
        <v>13700</v>
      </c>
      <c r="H37" s="7">
        <v>7</v>
      </c>
      <c r="I37" s="8">
        <v>0.42699999999999999</v>
      </c>
    </row>
    <row r="38" spans="1:9" x14ac:dyDescent="0.3">
      <c r="A38" s="9" t="s">
        <v>93</v>
      </c>
      <c r="B38" s="10" t="s">
        <v>94</v>
      </c>
      <c r="C38" s="10" t="s">
        <v>18</v>
      </c>
      <c r="D38" s="11" t="s">
        <v>29</v>
      </c>
      <c r="E38" s="11" t="s">
        <v>30</v>
      </c>
      <c r="F38" s="12">
        <v>4900</v>
      </c>
      <c r="G38" s="12">
        <v>2200</v>
      </c>
      <c r="H38" s="13">
        <v>4</v>
      </c>
      <c r="I38" s="14">
        <v>0.55100000000000005</v>
      </c>
    </row>
    <row r="39" spans="1:9" x14ac:dyDescent="0.3">
      <c r="A39" s="3" t="s">
        <v>95</v>
      </c>
      <c r="B39" s="4" t="s">
        <v>96</v>
      </c>
      <c r="C39" s="4" t="s">
        <v>23</v>
      </c>
      <c r="D39" s="5" t="s">
        <v>33</v>
      </c>
      <c r="E39" s="5" t="s">
        <v>34</v>
      </c>
      <c r="F39" s="6">
        <v>800</v>
      </c>
      <c r="G39" s="6">
        <v>400</v>
      </c>
      <c r="H39" s="7">
        <v>1</v>
      </c>
      <c r="I39" s="8">
        <v>0.5</v>
      </c>
    </row>
    <row r="40" spans="1:9" x14ac:dyDescent="0.3">
      <c r="A40" s="9" t="s">
        <v>97</v>
      </c>
      <c r="B40" s="10" t="s">
        <v>98</v>
      </c>
      <c r="C40" s="10" t="s">
        <v>28</v>
      </c>
      <c r="D40" s="11" t="s">
        <v>37</v>
      </c>
      <c r="E40" s="11" t="s">
        <v>38</v>
      </c>
      <c r="F40" s="12">
        <v>4900</v>
      </c>
      <c r="G40" s="12">
        <v>3100</v>
      </c>
      <c r="H40" s="13">
        <v>1</v>
      </c>
      <c r="I40" s="14">
        <v>0.36699999999999999</v>
      </c>
    </row>
    <row r="41" spans="1:9" x14ac:dyDescent="0.3">
      <c r="A41" s="3" t="s">
        <v>99</v>
      </c>
      <c r="B41" s="4" t="s">
        <v>100</v>
      </c>
      <c r="C41" s="4" t="s">
        <v>13</v>
      </c>
      <c r="D41" s="5" t="s">
        <v>14</v>
      </c>
      <c r="E41" s="5" t="s">
        <v>15</v>
      </c>
      <c r="F41" s="6">
        <v>194900</v>
      </c>
      <c r="G41" s="6">
        <v>129900</v>
      </c>
      <c r="H41" s="7">
        <v>7</v>
      </c>
      <c r="I41" s="8">
        <v>0.33400000000000002</v>
      </c>
    </row>
    <row r="42" spans="1:9" x14ac:dyDescent="0.3">
      <c r="A42" s="9" t="s">
        <v>101</v>
      </c>
      <c r="B42" s="10" t="s">
        <v>102</v>
      </c>
      <c r="C42" s="10" t="s">
        <v>18</v>
      </c>
      <c r="D42" s="11" t="s">
        <v>19</v>
      </c>
      <c r="E42" s="11" t="s">
        <v>20</v>
      </c>
      <c r="F42" s="12">
        <v>133300</v>
      </c>
      <c r="G42" s="12">
        <v>91600</v>
      </c>
      <c r="H42" s="13">
        <v>4</v>
      </c>
      <c r="I42" s="14">
        <v>0.313</v>
      </c>
    </row>
    <row r="43" spans="1:9" x14ac:dyDescent="0.3">
      <c r="A43" s="3" t="s">
        <v>103</v>
      </c>
      <c r="B43" s="4" t="s">
        <v>104</v>
      </c>
      <c r="C43" s="4" t="s">
        <v>23</v>
      </c>
      <c r="D43" s="5" t="s">
        <v>24</v>
      </c>
      <c r="E43" s="5" t="s">
        <v>25</v>
      </c>
      <c r="F43" s="6">
        <v>20400</v>
      </c>
      <c r="G43" s="6">
        <v>11700</v>
      </c>
      <c r="H43" s="7">
        <v>6</v>
      </c>
      <c r="I43" s="8">
        <v>0.42599999999999999</v>
      </c>
    </row>
    <row r="44" spans="1:9" x14ac:dyDescent="0.3">
      <c r="A44" s="9" t="s">
        <v>105</v>
      </c>
      <c r="B44" s="10" t="s">
        <v>106</v>
      </c>
      <c r="C44" s="10" t="s">
        <v>28</v>
      </c>
      <c r="D44" s="11" t="s">
        <v>29</v>
      </c>
      <c r="E44" s="11" t="s">
        <v>30</v>
      </c>
      <c r="F44" s="12">
        <v>9500</v>
      </c>
      <c r="G44" s="12">
        <v>4400</v>
      </c>
      <c r="H44" s="13">
        <v>8</v>
      </c>
      <c r="I44" s="14">
        <v>0.53700000000000003</v>
      </c>
    </row>
    <row r="45" spans="1:9" x14ac:dyDescent="0.3">
      <c r="A45" s="3" t="s">
        <v>107</v>
      </c>
      <c r="B45" s="4" t="s">
        <v>108</v>
      </c>
      <c r="C45" s="4" t="s">
        <v>13</v>
      </c>
      <c r="D45" s="5" t="s">
        <v>33</v>
      </c>
      <c r="E45" s="5" t="s">
        <v>34</v>
      </c>
      <c r="F45" s="6">
        <v>6600</v>
      </c>
      <c r="G45" s="6">
        <v>3100</v>
      </c>
      <c r="H45" s="7">
        <v>8</v>
      </c>
      <c r="I45" s="8">
        <v>0.53</v>
      </c>
    </row>
    <row r="46" spans="1:9" x14ac:dyDescent="0.3">
      <c r="A46" s="9" t="s">
        <v>109</v>
      </c>
      <c r="B46" s="10" t="s">
        <v>110</v>
      </c>
      <c r="C46" s="10" t="s">
        <v>18</v>
      </c>
      <c r="D46" s="11" t="s">
        <v>37</v>
      </c>
      <c r="E46" s="11" t="s">
        <v>38</v>
      </c>
      <c r="F46" s="12">
        <v>14000</v>
      </c>
      <c r="G46" s="12">
        <v>8800</v>
      </c>
      <c r="H46" s="13">
        <v>3</v>
      </c>
      <c r="I46" s="14">
        <v>0.371</v>
      </c>
    </row>
    <row r="47" spans="1:9" x14ac:dyDescent="0.3">
      <c r="A47" s="3" t="s">
        <v>111</v>
      </c>
      <c r="B47" s="4" t="s">
        <v>112</v>
      </c>
      <c r="C47" s="4" t="s">
        <v>23</v>
      </c>
      <c r="D47" s="5" t="s">
        <v>14</v>
      </c>
      <c r="E47" s="5" t="s">
        <v>15</v>
      </c>
      <c r="F47" s="6">
        <v>146000</v>
      </c>
      <c r="G47" s="6">
        <v>97300</v>
      </c>
      <c r="H47" s="7">
        <v>5</v>
      </c>
      <c r="I47" s="8">
        <v>0.33400000000000002</v>
      </c>
    </row>
    <row r="48" spans="1:9" x14ac:dyDescent="0.3">
      <c r="A48" s="9" t="s">
        <v>113</v>
      </c>
      <c r="B48" s="10" t="s">
        <v>114</v>
      </c>
      <c r="C48" s="10" t="s">
        <v>28</v>
      </c>
      <c r="D48" s="11" t="s">
        <v>19</v>
      </c>
      <c r="E48" s="11" t="s">
        <v>20</v>
      </c>
      <c r="F48" s="12">
        <v>232900</v>
      </c>
      <c r="G48" s="12">
        <v>160100</v>
      </c>
      <c r="H48" s="13">
        <v>7</v>
      </c>
      <c r="I48" s="14">
        <v>0.313</v>
      </c>
    </row>
    <row r="49" spans="1:9" x14ac:dyDescent="0.3">
      <c r="A49" s="3" t="s">
        <v>115</v>
      </c>
      <c r="B49" s="4" t="s">
        <v>116</v>
      </c>
      <c r="C49" s="4" t="s">
        <v>13</v>
      </c>
      <c r="D49" s="5" t="s">
        <v>24</v>
      </c>
      <c r="E49" s="5" t="s">
        <v>25</v>
      </c>
      <c r="F49" s="6">
        <v>24200</v>
      </c>
      <c r="G49" s="6">
        <v>13800</v>
      </c>
      <c r="H49" s="7">
        <v>7</v>
      </c>
      <c r="I49" s="8">
        <v>0.43</v>
      </c>
    </row>
    <row r="50" spans="1:9" x14ac:dyDescent="0.3">
      <c r="A50" s="9" t="s">
        <v>117</v>
      </c>
      <c r="B50" s="10" t="s">
        <v>118</v>
      </c>
      <c r="C50" s="10" t="s">
        <v>18</v>
      </c>
      <c r="D50" s="11" t="s">
        <v>29</v>
      </c>
      <c r="E50" s="11" t="s">
        <v>30</v>
      </c>
      <c r="F50" s="12">
        <v>3600</v>
      </c>
      <c r="G50" s="12">
        <v>1700</v>
      </c>
      <c r="H50" s="13">
        <v>3</v>
      </c>
      <c r="I50" s="14">
        <v>0.52800000000000002</v>
      </c>
    </row>
    <row r="51" spans="1:9" x14ac:dyDescent="0.3">
      <c r="A51" s="3" t="s">
        <v>119</v>
      </c>
      <c r="B51" s="4" t="s">
        <v>120</v>
      </c>
      <c r="C51" s="4" t="s">
        <v>23</v>
      </c>
      <c r="D51" s="5" t="s">
        <v>33</v>
      </c>
      <c r="E51" s="5" t="s">
        <v>34</v>
      </c>
      <c r="F51" s="6">
        <v>1700</v>
      </c>
      <c r="G51" s="6">
        <v>800</v>
      </c>
      <c r="H51" s="7">
        <v>2</v>
      </c>
      <c r="I51" s="8">
        <v>0.52900000000000003</v>
      </c>
    </row>
    <row r="52" spans="1:9" x14ac:dyDescent="0.3">
      <c r="A52" s="9" t="s">
        <v>121</v>
      </c>
      <c r="B52" s="10" t="s">
        <v>122</v>
      </c>
      <c r="C52" s="10" t="s">
        <v>28</v>
      </c>
      <c r="D52" s="11" t="s">
        <v>37</v>
      </c>
      <c r="E52" s="11" t="s">
        <v>38</v>
      </c>
      <c r="F52" s="12">
        <v>9300</v>
      </c>
      <c r="G52" s="12">
        <v>5800</v>
      </c>
      <c r="H52" s="13">
        <v>2</v>
      </c>
      <c r="I52" s="14">
        <v>0.376</v>
      </c>
    </row>
    <row r="53" spans="1:9" x14ac:dyDescent="0.3">
      <c r="A53" s="3" t="s">
        <v>123</v>
      </c>
      <c r="B53" s="4" t="s">
        <v>124</v>
      </c>
      <c r="C53" s="4" t="s">
        <v>13</v>
      </c>
      <c r="D53" s="5" t="s">
        <v>14</v>
      </c>
      <c r="E53" s="5" t="s">
        <v>15</v>
      </c>
      <c r="F53" s="6">
        <v>88000</v>
      </c>
      <c r="G53" s="6">
        <v>58700</v>
      </c>
      <c r="H53" s="7">
        <v>3</v>
      </c>
      <c r="I53" s="8">
        <v>0.33300000000000002</v>
      </c>
    </row>
    <row r="54" spans="1:9" x14ac:dyDescent="0.3">
      <c r="A54" s="9" t="s">
        <v>125</v>
      </c>
      <c r="B54" s="10" t="s">
        <v>126</v>
      </c>
      <c r="C54" s="10" t="s">
        <v>18</v>
      </c>
      <c r="D54" s="11" t="s">
        <v>19</v>
      </c>
      <c r="E54" s="11" t="s">
        <v>20</v>
      </c>
      <c r="F54" s="12">
        <v>226200</v>
      </c>
      <c r="G54" s="12">
        <v>155500</v>
      </c>
      <c r="H54" s="13">
        <v>7</v>
      </c>
      <c r="I54" s="14">
        <v>0.313</v>
      </c>
    </row>
    <row r="55" spans="1:9" x14ac:dyDescent="0.3">
      <c r="A55" s="3" t="s">
        <v>127</v>
      </c>
      <c r="B55" s="4" t="s">
        <v>128</v>
      </c>
      <c r="C55" s="4" t="s">
        <v>23</v>
      </c>
      <c r="D55" s="5" t="s">
        <v>24</v>
      </c>
      <c r="E55" s="5" t="s">
        <v>25</v>
      </c>
      <c r="F55" s="6">
        <v>24200</v>
      </c>
      <c r="G55" s="6">
        <v>13800</v>
      </c>
      <c r="H55" s="7">
        <v>7</v>
      </c>
      <c r="I55" s="8">
        <v>0.43</v>
      </c>
    </row>
    <row r="56" spans="1:9" x14ac:dyDescent="0.3">
      <c r="A56" s="9" t="s">
        <v>129</v>
      </c>
      <c r="B56" s="10" t="s">
        <v>130</v>
      </c>
      <c r="C56" s="10" t="s">
        <v>28</v>
      </c>
      <c r="D56" s="11" t="s">
        <v>29</v>
      </c>
      <c r="E56" s="11" t="s">
        <v>30</v>
      </c>
      <c r="F56" s="12">
        <v>9600</v>
      </c>
      <c r="G56" s="12">
        <v>4400</v>
      </c>
      <c r="H56" s="13">
        <v>8</v>
      </c>
      <c r="I56" s="14">
        <v>0.54200000000000004</v>
      </c>
    </row>
    <row r="57" spans="1:9" x14ac:dyDescent="0.3">
      <c r="A57" s="3" t="s">
        <v>131</v>
      </c>
      <c r="B57" s="4" t="s">
        <v>132</v>
      </c>
      <c r="C57" s="4" t="s">
        <v>13</v>
      </c>
      <c r="D57" s="5" t="s">
        <v>33</v>
      </c>
      <c r="E57" s="5" t="s">
        <v>34</v>
      </c>
      <c r="F57" s="6">
        <v>900</v>
      </c>
      <c r="G57" s="6">
        <v>400</v>
      </c>
      <c r="H57" s="7">
        <v>1</v>
      </c>
      <c r="I57" s="8">
        <v>0.55600000000000005</v>
      </c>
    </row>
    <row r="58" spans="1:9" x14ac:dyDescent="0.3">
      <c r="A58" s="9" t="s">
        <v>133</v>
      </c>
      <c r="B58" s="10" t="s">
        <v>134</v>
      </c>
      <c r="C58" s="10" t="s">
        <v>18</v>
      </c>
      <c r="D58" s="11" t="s">
        <v>37</v>
      </c>
      <c r="E58" s="11" t="s">
        <v>38</v>
      </c>
      <c r="F58" s="12">
        <v>9800</v>
      </c>
      <c r="G58" s="12">
        <v>6100</v>
      </c>
      <c r="H58" s="13">
        <v>2</v>
      </c>
      <c r="I58" s="14">
        <v>0.378</v>
      </c>
    </row>
    <row r="59" spans="1:9" x14ac:dyDescent="0.3">
      <c r="A59" s="3" t="s">
        <v>135</v>
      </c>
      <c r="B59" s="4" t="s">
        <v>136</v>
      </c>
      <c r="C59" s="4" t="s">
        <v>23</v>
      </c>
      <c r="D59" s="5" t="s">
        <v>14</v>
      </c>
      <c r="E59" s="5" t="s">
        <v>15</v>
      </c>
      <c r="F59" s="6">
        <v>146300</v>
      </c>
      <c r="G59" s="6">
        <v>97600</v>
      </c>
      <c r="H59" s="7">
        <v>5</v>
      </c>
      <c r="I59" s="8">
        <v>0.33300000000000002</v>
      </c>
    </row>
    <row r="60" spans="1:9" x14ac:dyDescent="0.3">
      <c r="A60" s="9" t="s">
        <v>137</v>
      </c>
      <c r="B60" s="10" t="s">
        <v>138</v>
      </c>
      <c r="C60" s="10" t="s">
        <v>28</v>
      </c>
      <c r="D60" s="11" t="s">
        <v>19</v>
      </c>
      <c r="E60" s="11" t="s">
        <v>20</v>
      </c>
      <c r="F60" s="12">
        <v>184500</v>
      </c>
      <c r="G60" s="12">
        <v>126900</v>
      </c>
      <c r="H60" s="13">
        <v>6</v>
      </c>
      <c r="I60" s="14">
        <v>0.312</v>
      </c>
    </row>
    <row r="61" spans="1:9" x14ac:dyDescent="0.3">
      <c r="A61" s="3" t="s">
        <v>139</v>
      </c>
      <c r="B61" s="4" t="s">
        <v>140</v>
      </c>
      <c r="C61" s="4" t="s">
        <v>13</v>
      </c>
      <c r="D61" s="5" t="s">
        <v>24</v>
      </c>
      <c r="E61" s="5" t="s">
        <v>25</v>
      </c>
      <c r="F61" s="6">
        <v>23700</v>
      </c>
      <c r="G61" s="6">
        <v>13500</v>
      </c>
      <c r="H61" s="7">
        <v>7</v>
      </c>
      <c r="I61" s="8">
        <v>0.43</v>
      </c>
    </row>
    <row r="62" spans="1:9" x14ac:dyDescent="0.3">
      <c r="A62" s="9" t="s">
        <v>141</v>
      </c>
      <c r="B62" s="10" t="s">
        <v>142</v>
      </c>
      <c r="C62" s="10" t="s">
        <v>18</v>
      </c>
      <c r="D62" s="11" t="s">
        <v>29</v>
      </c>
      <c r="E62" s="11" t="s">
        <v>30</v>
      </c>
      <c r="F62" s="12">
        <v>1300</v>
      </c>
      <c r="G62" s="12">
        <v>600</v>
      </c>
      <c r="H62" s="13">
        <v>1</v>
      </c>
      <c r="I62" s="14">
        <v>0.53800000000000003</v>
      </c>
    </row>
    <row r="63" spans="1:9" x14ac:dyDescent="0.3">
      <c r="A63" s="3" t="s">
        <v>143</v>
      </c>
      <c r="B63" s="4" t="s">
        <v>144</v>
      </c>
      <c r="C63" s="4" t="s">
        <v>23</v>
      </c>
      <c r="D63" s="5" t="s">
        <v>33</v>
      </c>
      <c r="E63" s="5" t="s">
        <v>34</v>
      </c>
      <c r="F63" s="6">
        <v>4500</v>
      </c>
      <c r="G63" s="6">
        <v>2100</v>
      </c>
      <c r="H63" s="7">
        <v>5</v>
      </c>
      <c r="I63" s="8">
        <v>0.53300000000000003</v>
      </c>
    </row>
    <row r="64" spans="1:9" x14ac:dyDescent="0.3">
      <c r="A64" s="9" t="s">
        <v>145</v>
      </c>
      <c r="B64" s="10" t="s">
        <v>146</v>
      </c>
      <c r="C64" s="10" t="s">
        <v>28</v>
      </c>
      <c r="D64" s="11" t="s">
        <v>37</v>
      </c>
      <c r="E64" s="11" t="s">
        <v>38</v>
      </c>
      <c r="F64" s="12">
        <v>14400</v>
      </c>
      <c r="G64" s="12">
        <v>9000</v>
      </c>
      <c r="H64" s="13">
        <v>3</v>
      </c>
      <c r="I64" s="14">
        <v>0.375</v>
      </c>
    </row>
    <row r="65" spans="1:9" x14ac:dyDescent="0.3">
      <c r="A65" s="3" t="s">
        <v>147</v>
      </c>
      <c r="B65" s="4" t="s">
        <v>148</v>
      </c>
      <c r="C65" s="4" t="s">
        <v>13</v>
      </c>
      <c r="D65" s="5" t="s">
        <v>14</v>
      </c>
      <c r="E65" s="5" t="s">
        <v>15</v>
      </c>
      <c r="F65" s="6">
        <v>59100</v>
      </c>
      <c r="G65" s="6">
        <v>39400</v>
      </c>
      <c r="H65" s="7">
        <v>2</v>
      </c>
      <c r="I65" s="8">
        <v>0.33300000000000002</v>
      </c>
    </row>
    <row r="66" spans="1:9" x14ac:dyDescent="0.3">
      <c r="A66" s="9" t="s">
        <v>149</v>
      </c>
      <c r="B66" s="10" t="s">
        <v>150</v>
      </c>
      <c r="C66" s="10" t="s">
        <v>18</v>
      </c>
      <c r="D66" s="11" t="s">
        <v>19</v>
      </c>
      <c r="E66" s="11" t="s">
        <v>20</v>
      </c>
      <c r="F66" s="12">
        <v>165500</v>
      </c>
      <c r="G66" s="12">
        <v>113800</v>
      </c>
      <c r="H66" s="13">
        <v>5</v>
      </c>
      <c r="I66" s="14">
        <v>0.312</v>
      </c>
    </row>
    <row r="67" spans="1:9" x14ac:dyDescent="0.3">
      <c r="A67" s="3" t="s">
        <v>151</v>
      </c>
      <c r="B67" s="4" t="s">
        <v>152</v>
      </c>
      <c r="C67" s="4" t="s">
        <v>23</v>
      </c>
      <c r="D67" s="5" t="s">
        <v>24</v>
      </c>
      <c r="E67" s="5" t="s">
        <v>25</v>
      </c>
      <c r="F67" s="6">
        <v>13500</v>
      </c>
      <c r="G67" s="6">
        <v>7700</v>
      </c>
      <c r="H67" s="7">
        <v>4</v>
      </c>
      <c r="I67" s="8">
        <v>0.43</v>
      </c>
    </row>
    <row r="68" spans="1:9" x14ac:dyDescent="0.3">
      <c r="A68" s="9" t="s">
        <v>153</v>
      </c>
      <c r="B68" s="10" t="s">
        <v>154</v>
      </c>
      <c r="C68" s="10" t="s">
        <v>28</v>
      </c>
      <c r="D68" s="11" t="s">
        <v>29</v>
      </c>
      <c r="E68" s="11" t="s">
        <v>30</v>
      </c>
      <c r="F68" s="12">
        <v>3600</v>
      </c>
      <c r="G68" s="12">
        <v>1700</v>
      </c>
      <c r="H68" s="13">
        <v>3</v>
      </c>
      <c r="I68" s="14">
        <v>0.52800000000000002</v>
      </c>
    </row>
    <row r="69" spans="1:9" x14ac:dyDescent="0.3">
      <c r="A69" s="3" t="s">
        <v>155</v>
      </c>
      <c r="B69" s="4" t="s">
        <v>156</v>
      </c>
      <c r="C69" s="4" t="s">
        <v>13</v>
      </c>
      <c r="D69" s="5" t="s">
        <v>33</v>
      </c>
      <c r="E69" s="5" t="s">
        <v>34</v>
      </c>
      <c r="F69" s="6">
        <v>900</v>
      </c>
      <c r="G69" s="6">
        <v>400</v>
      </c>
      <c r="H69" s="7">
        <v>1</v>
      </c>
      <c r="I69" s="8">
        <v>0.55600000000000005</v>
      </c>
    </row>
    <row r="70" spans="1:9" x14ac:dyDescent="0.3">
      <c r="A70" s="9" t="s">
        <v>157</v>
      </c>
      <c r="B70" s="10" t="s">
        <v>158</v>
      </c>
      <c r="C70" s="10" t="s">
        <v>18</v>
      </c>
      <c r="D70" s="11" t="s">
        <v>37</v>
      </c>
      <c r="E70" s="11" t="s">
        <v>38</v>
      </c>
      <c r="F70" s="12">
        <v>36600</v>
      </c>
      <c r="G70" s="12">
        <v>22800</v>
      </c>
      <c r="H70" s="13">
        <v>8</v>
      </c>
      <c r="I70" s="14">
        <v>0.377</v>
      </c>
    </row>
    <row r="71" spans="1:9" x14ac:dyDescent="0.3">
      <c r="A71" s="3" t="s">
        <v>159</v>
      </c>
      <c r="B71" s="4" t="s">
        <v>160</v>
      </c>
      <c r="C71" s="4" t="s">
        <v>23</v>
      </c>
      <c r="D71" s="5" t="s">
        <v>14</v>
      </c>
      <c r="E71" s="5" t="s">
        <v>15</v>
      </c>
      <c r="F71" s="6">
        <v>177500</v>
      </c>
      <c r="G71" s="6">
        <v>118300</v>
      </c>
      <c r="H71" s="7">
        <v>6</v>
      </c>
      <c r="I71" s="8">
        <v>0.33400000000000002</v>
      </c>
    </row>
    <row r="72" spans="1:9" x14ac:dyDescent="0.3">
      <c r="A72" s="9" t="s">
        <v>161</v>
      </c>
      <c r="B72" s="10" t="s">
        <v>162</v>
      </c>
      <c r="C72" s="10" t="s">
        <v>28</v>
      </c>
      <c r="D72" s="11" t="s">
        <v>19</v>
      </c>
      <c r="E72" s="11" t="s">
        <v>20</v>
      </c>
      <c r="F72" s="12">
        <v>155800</v>
      </c>
      <c r="G72" s="12">
        <v>107100</v>
      </c>
      <c r="H72" s="13">
        <v>5</v>
      </c>
      <c r="I72" s="14">
        <v>0.313</v>
      </c>
    </row>
    <row r="73" spans="1:9" x14ac:dyDescent="0.3">
      <c r="A73" s="3" t="s">
        <v>163</v>
      </c>
      <c r="B73" s="4" t="s">
        <v>164</v>
      </c>
      <c r="C73" s="4" t="s">
        <v>13</v>
      </c>
      <c r="D73" s="5" t="s">
        <v>24</v>
      </c>
      <c r="E73" s="5" t="s">
        <v>25</v>
      </c>
      <c r="F73" s="6">
        <v>14500</v>
      </c>
      <c r="G73" s="6">
        <v>8300</v>
      </c>
      <c r="H73" s="7">
        <v>4</v>
      </c>
      <c r="I73" s="8">
        <v>0.42799999999999999</v>
      </c>
    </row>
    <row r="74" spans="1:9" x14ac:dyDescent="0.3">
      <c r="A74" s="9" t="s">
        <v>165</v>
      </c>
      <c r="B74" s="10" t="s">
        <v>166</v>
      </c>
      <c r="C74" s="10" t="s">
        <v>18</v>
      </c>
      <c r="D74" s="11" t="s">
        <v>29</v>
      </c>
      <c r="E74" s="11" t="s">
        <v>30</v>
      </c>
      <c r="F74" s="12">
        <v>2300</v>
      </c>
      <c r="G74" s="12">
        <v>1100</v>
      </c>
      <c r="H74" s="13">
        <v>2</v>
      </c>
      <c r="I74" s="14">
        <v>0.52200000000000002</v>
      </c>
    </row>
    <row r="75" spans="1:9" x14ac:dyDescent="0.3">
      <c r="A75" s="3" t="s">
        <v>167</v>
      </c>
      <c r="B75" s="4" t="s">
        <v>168</v>
      </c>
      <c r="C75" s="4" t="s">
        <v>23</v>
      </c>
      <c r="D75" s="5" t="s">
        <v>33</v>
      </c>
      <c r="E75" s="5" t="s">
        <v>34</v>
      </c>
      <c r="F75" s="6">
        <v>7000</v>
      </c>
      <c r="G75" s="6">
        <v>3300</v>
      </c>
      <c r="H75" s="7">
        <v>8</v>
      </c>
      <c r="I75" s="8">
        <v>0.52900000000000003</v>
      </c>
    </row>
    <row r="76" spans="1:9" x14ac:dyDescent="0.3">
      <c r="A76" s="9" t="s">
        <v>169</v>
      </c>
      <c r="B76" s="10" t="s">
        <v>170</v>
      </c>
      <c r="C76" s="10" t="s">
        <v>28</v>
      </c>
      <c r="D76" s="11" t="s">
        <v>37</v>
      </c>
      <c r="E76" s="11" t="s">
        <v>38</v>
      </c>
      <c r="F76" s="12">
        <v>13900</v>
      </c>
      <c r="G76" s="12">
        <v>8700</v>
      </c>
      <c r="H76" s="13">
        <v>3</v>
      </c>
      <c r="I76" s="14">
        <v>0.374</v>
      </c>
    </row>
    <row r="77" spans="1:9" x14ac:dyDescent="0.3">
      <c r="A77" s="3" t="s">
        <v>171</v>
      </c>
      <c r="B77" s="4" t="s">
        <v>172</v>
      </c>
      <c r="C77" s="4" t="s">
        <v>13</v>
      </c>
      <c r="D77" s="5" t="s">
        <v>14</v>
      </c>
      <c r="E77" s="5" t="s">
        <v>15</v>
      </c>
      <c r="F77" s="6">
        <v>238200</v>
      </c>
      <c r="G77" s="6">
        <v>158800</v>
      </c>
      <c r="H77" s="7">
        <v>8</v>
      </c>
      <c r="I77" s="8">
        <v>0.33300000000000002</v>
      </c>
    </row>
    <row r="78" spans="1:9" x14ac:dyDescent="0.3">
      <c r="A78" s="9" t="s">
        <v>173</v>
      </c>
      <c r="B78" s="10" t="s">
        <v>174</v>
      </c>
      <c r="C78" s="10" t="s">
        <v>18</v>
      </c>
      <c r="D78" s="11" t="s">
        <v>19</v>
      </c>
      <c r="E78" s="11" t="s">
        <v>20</v>
      </c>
      <c r="F78" s="12">
        <v>93700</v>
      </c>
      <c r="G78" s="12">
        <v>64400</v>
      </c>
      <c r="H78" s="13">
        <v>3</v>
      </c>
      <c r="I78" s="14">
        <v>0.313</v>
      </c>
    </row>
    <row r="79" spans="1:9" x14ac:dyDescent="0.3">
      <c r="A79" s="3" t="s">
        <v>175</v>
      </c>
      <c r="B79" s="4" t="s">
        <v>176</v>
      </c>
      <c r="C79" s="4" t="s">
        <v>23</v>
      </c>
      <c r="D79" s="5" t="s">
        <v>24</v>
      </c>
      <c r="E79" s="5" t="s">
        <v>25</v>
      </c>
      <c r="F79" s="6">
        <v>25600</v>
      </c>
      <c r="G79" s="6">
        <v>14700</v>
      </c>
      <c r="H79" s="7">
        <v>7</v>
      </c>
      <c r="I79" s="8">
        <v>0.42599999999999999</v>
      </c>
    </row>
    <row r="80" spans="1:9" x14ac:dyDescent="0.3">
      <c r="A80" s="9" t="s">
        <v>177</v>
      </c>
      <c r="B80" s="10" t="s">
        <v>178</v>
      </c>
      <c r="C80" s="10" t="s">
        <v>28</v>
      </c>
      <c r="D80" s="11" t="s">
        <v>29</v>
      </c>
      <c r="E80" s="11" t="s">
        <v>30</v>
      </c>
      <c r="F80" s="12">
        <v>4900</v>
      </c>
      <c r="G80" s="12">
        <v>2200</v>
      </c>
      <c r="H80" s="13">
        <v>4</v>
      </c>
      <c r="I80" s="14">
        <v>0.55100000000000005</v>
      </c>
    </row>
    <row r="81" spans="1:9" x14ac:dyDescent="0.3">
      <c r="A81" s="3" t="s">
        <v>179</v>
      </c>
      <c r="B81" s="4" t="s">
        <v>180</v>
      </c>
      <c r="C81" s="4" t="s">
        <v>13</v>
      </c>
      <c r="D81" s="5" t="s">
        <v>33</v>
      </c>
      <c r="E81" s="5" t="s">
        <v>34</v>
      </c>
      <c r="F81" s="6">
        <v>6200</v>
      </c>
      <c r="G81" s="6">
        <v>2900</v>
      </c>
      <c r="H81" s="7">
        <v>7</v>
      </c>
      <c r="I81" s="8">
        <v>0.53200000000000003</v>
      </c>
    </row>
    <row r="82" spans="1:9" x14ac:dyDescent="0.3">
      <c r="A82" s="9" t="s">
        <v>181</v>
      </c>
      <c r="B82" s="10" t="s">
        <v>182</v>
      </c>
      <c r="C82" s="10" t="s">
        <v>18</v>
      </c>
      <c r="D82" s="11" t="s">
        <v>37</v>
      </c>
      <c r="E82" s="11" t="s">
        <v>38</v>
      </c>
      <c r="F82" s="12">
        <v>28600</v>
      </c>
      <c r="G82" s="12">
        <v>17900</v>
      </c>
      <c r="H82" s="13">
        <v>6</v>
      </c>
      <c r="I82" s="14">
        <v>0.374</v>
      </c>
    </row>
    <row r="83" spans="1:9" x14ac:dyDescent="0.3">
      <c r="A83" s="3" t="s">
        <v>183</v>
      </c>
      <c r="B83" s="4" t="s">
        <v>184</v>
      </c>
      <c r="C83" s="4" t="s">
        <v>23</v>
      </c>
      <c r="D83" s="5" t="s">
        <v>14</v>
      </c>
      <c r="E83" s="5" t="s">
        <v>15</v>
      </c>
      <c r="F83" s="6">
        <v>219400</v>
      </c>
      <c r="G83" s="6">
        <v>146200</v>
      </c>
      <c r="H83" s="7">
        <v>8</v>
      </c>
      <c r="I83" s="8">
        <v>0.33400000000000002</v>
      </c>
    </row>
    <row r="84" spans="1:9" x14ac:dyDescent="0.3">
      <c r="A84" s="9" t="s">
        <v>185</v>
      </c>
      <c r="B84" s="10" t="s">
        <v>186</v>
      </c>
      <c r="C84" s="10" t="s">
        <v>28</v>
      </c>
      <c r="D84" s="11" t="s">
        <v>19</v>
      </c>
      <c r="E84" s="11" t="s">
        <v>20</v>
      </c>
      <c r="F84" s="12">
        <v>122400</v>
      </c>
      <c r="G84" s="12">
        <v>84200</v>
      </c>
      <c r="H84" s="13">
        <v>4</v>
      </c>
      <c r="I84" s="14">
        <v>0.312</v>
      </c>
    </row>
    <row r="85" spans="1:9" x14ac:dyDescent="0.3">
      <c r="A85" s="3" t="s">
        <v>187</v>
      </c>
      <c r="B85" s="4" t="s">
        <v>188</v>
      </c>
      <c r="C85" s="4" t="s">
        <v>13</v>
      </c>
      <c r="D85" s="5" t="s">
        <v>24</v>
      </c>
      <c r="E85" s="5" t="s">
        <v>25</v>
      </c>
      <c r="F85" s="6">
        <v>3500</v>
      </c>
      <c r="G85" s="6">
        <v>2000</v>
      </c>
      <c r="H85" s="7">
        <v>1</v>
      </c>
      <c r="I85" s="8">
        <v>0.42899999999999999</v>
      </c>
    </row>
    <row r="86" spans="1:9" x14ac:dyDescent="0.3">
      <c r="A86" s="9" t="s">
        <v>189</v>
      </c>
      <c r="B86" s="10" t="s">
        <v>190</v>
      </c>
      <c r="C86" s="10" t="s">
        <v>18</v>
      </c>
      <c r="D86" s="11" t="s">
        <v>29</v>
      </c>
      <c r="E86" s="11" t="s">
        <v>30</v>
      </c>
      <c r="F86" s="12">
        <v>4800</v>
      </c>
      <c r="G86" s="12">
        <v>2200</v>
      </c>
      <c r="H86" s="13">
        <v>4</v>
      </c>
      <c r="I86" s="14">
        <v>0.54200000000000004</v>
      </c>
    </row>
    <row r="87" spans="1:9" x14ac:dyDescent="0.3">
      <c r="A87" s="3" t="s">
        <v>191</v>
      </c>
      <c r="B87" s="4" t="s">
        <v>192</v>
      </c>
      <c r="C87" s="4" t="s">
        <v>23</v>
      </c>
      <c r="D87" s="5" t="s">
        <v>33</v>
      </c>
      <c r="E87" s="5" t="s">
        <v>34</v>
      </c>
      <c r="F87" s="6">
        <v>800</v>
      </c>
      <c r="G87" s="6">
        <v>400</v>
      </c>
      <c r="H87" s="7">
        <v>1</v>
      </c>
      <c r="I87" s="8">
        <v>0.5</v>
      </c>
    </row>
    <row r="88" spans="1:9" x14ac:dyDescent="0.3">
      <c r="A88" s="9" t="s">
        <v>193</v>
      </c>
      <c r="B88" s="10" t="s">
        <v>194</v>
      </c>
      <c r="C88" s="10" t="s">
        <v>28</v>
      </c>
      <c r="D88" s="11" t="s">
        <v>37</v>
      </c>
      <c r="E88" s="11" t="s">
        <v>38</v>
      </c>
      <c r="F88" s="12">
        <v>4700</v>
      </c>
      <c r="G88" s="12">
        <v>2900</v>
      </c>
      <c r="H88" s="13">
        <v>1</v>
      </c>
      <c r="I88" s="14">
        <v>0.38300000000000001</v>
      </c>
    </row>
    <row r="89" spans="1:9" x14ac:dyDescent="0.3">
      <c r="A89" s="3" t="s">
        <v>195</v>
      </c>
      <c r="B89" s="4" t="s">
        <v>12</v>
      </c>
      <c r="C89" s="4" t="s">
        <v>13</v>
      </c>
      <c r="D89" s="5" t="s">
        <v>14</v>
      </c>
      <c r="E89" s="5" t="s">
        <v>15</v>
      </c>
      <c r="F89" s="6">
        <v>29500</v>
      </c>
      <c r="G89" s="6">
        <v>19700</v>
      </c>
      <c r="H89" s="7">
        <v>1</v>
      </c>
      <c r="I89" s="8">
        <v>0.33200000000000002</v>
      </c>
    </row>
    <row r="90" spans="1:9" x14ac:dyDescent="0.3">
      <c r="A90" s="9" t="s">
        <v>196</v>
      </c>
      <c r="B90" s="10" t="s">
        <v>17</v>
      </c>
      <c r="C90" s="10" t="s">
        <v>18</v>
      </c>
      <c r="D90" s="11" t="s">
        <v>19</v>
      </c>
      <c r="E90" s="11" t="s">
        <v>20</v>
      </c>
      <c r="F90" s="12">
        <v>64100</v>
      </c>
      <c r="G90" s="12">
        <v>44100</v>
      </c>
      <c r="H90" s="13">
        <v>2</v>
      </c>
      <c r="I90" s="14">
        <v>0.312</v>
      </c>
    </row>
    <row r="91" spans="1:9" x14ac:dyDescent="0.3">
      <c r="A91" s="3" t="s">
        <v>197</v>
      </c>
      <c r="B91" s="4" t="s">
        <v>22</v>
      </c>
      <c r="C91" s="4" t="s">
        <v>23</v>
      </c>
      <c r="D91" s="5" t="s">
        <v>24</v>
      </c>
      <c r="E91" s="5" t="s">
        <v>25</v>
      </c>
      <c r="F91" s="6">
        <v>17800</v>
      </c>
      <c r="G91" s="6">
        <v>10200</v>
      </c>
      <c r="H91" s="7">
        <v>5</v>
      </c>
      <c r="I91" s="8">
        <v>0.42699999999999999</v>
      </c>
    </row>
    <row r="92" spans="1:9" x14ac:dyDescent="0.3">
      <c r="A92" s="9" t="s">
        <v>198</v>
      </c>
      <c r="B92" s="10" t="s">
        <v>27</v>
      </c>
      <c r="C92" s="10" t="s">
        <v>28</v>
      </c>
      <c r="D92" s="11" t="s">
        <v>29</v>
      </c>
      <c r="E92" s="11" t="s">
        <v>30</v>
      </c>
      <c r="F92" s="12">
        <v>4800</v>
      </c>
      <c r="G92" s="12">
        <v>2200</v>
      </c>
      <c r="H92" s="13">
        <v>4</v>
      </c>
      <c r="I92" s="14">
        <v>0.54200000000000004</v>
      </c>
    </row>
    <row r="93" spans="1:9" x14ac:dyDescent="0.3">
      <c r="A93" s="3" t="s">
        <v>199</v>
      </c>
      <c r="B93" s="4" t="s">
        <v>32</v>
      </c>
      <c r="C93" s="4" t="s">
        <v>13</v>
      </c>
      <c r="D93" s="5" t="s">
        <v>33</v>
      </c>
      <c r="E93" s="5" t="s">
        <v>34</v>
      </c>
      <c r="F93" s="6">
        <v>6600</v>
      </c>
      <c r="G93" s="6">
        <v>3100</v>
      </c>
      <c r="H93" s="7">
        <v>8</v>
      </c>
      <c r="I93" s="8">
        <v>0.53</v>
      </c>
    </row>
    <row r="94" spans="1:9" x14ac:dyDescent="0.3">
      <c r="A94" s="9" t="s">
        <v>200</v>
      </c>
      <c r="B94" s="10" t="s">
        <v>36</v>
      </c>
      <c r="C94" s="10" t="s">
        <v>18</v>
      </c>
      <c r="D94" s="11" t="s">
        <v>37</v>
      </c>
      <c r="E94" s="11" t="s">
        <v>38</v>
      </c>
      <c r="F94" s="12">
        <v>39600</v>
      </c>
      <c r="G94" s="12">
        <v>24700</v>
      </c>
      <c r="H94" s="13">
        <v>8</v>
      </c>
      <c r="I94" s="14">
        <v>0.376</v>
      </c>
    </row>
    <row r="95" spans="1:9" x14ac:dyDescent="0.3">
      <c r="A95" s="3" t="s">
        <v>201</v>
      </c>
      <c r="B95" s="4" t="s">
        <v>40</v>
      </c>
      <c r="C95" s="4" t="s">
        <v>23</v>
      </c>
      <c r="D95" s="5" t="s">
        <v>14</v>
      </c>
      <c r="E95" s="5" t="s">
        <v>15</v>
      </c>
      <c r="F95" s="6">
        <v>109400</v>
      </c>
      <c r="G95" s="6">
        <v>72900</v>
      </c>
      <c r="H95" s="7">
        <v>4</v>
      </c>
      <c r="I95" s="8">
        <v>0.33400000000000002</v>
      </c>
    </row>
    <row r="96" spans="1:9" x14ac:dyDescent="0.3">
      <c r="A96" s="9" t="s">
        <v>202</v>
      </c>
      <c r="B96" s="10" t="s">
        <v>42</v>
      </c>
      <c r="C96" s="10" t="s">
        <v>28</v>
      </c>
      <c r="D96" s="11" t="s">
        <v>19</v>
      </c>
      <c r="E96" s="11" t="s">
        <v>20</v>
      </c>
      <c r="F96" s="12">
        <v>220700</v>
      </c>
      <c r="G96" s="12">
        <v>151800</v>
      </c>
      <c r="H96" s="13">
        <v>7</v>
      </c>
      <c r="I96" s="14">
        <v>0.312</v>
      </c>
    </row>
    <row r="97" spans="1:9" x14ac:dyDescent="0.3">
      <c r="A97" s="3" t="s">
        <v>203</v>
      </c>
      <c r="B97" s="4" t="s">
        <v>44</v>
      </c>
      <c r="C97" s="4" t="s">
        <v>13</v>
      </c>
      <c r="D97" s="5" t="s">
        <v>24</v>
      </c>
      <c r="E97" s="5" t="s">
        <v>25</v>
      </c>
      <c r="F97" s="6">
        <v>24400</v>
      </c>
      <c r="G97" s="6">
        <v>14000</v>
      </c>
      <c r="H97" s="7">
        <v>7</v>
      </c>
      <c r="I97" s="8">
        <v>0.42599999999999999</v>
      </c>
    </row>
    <row r="98" spans="1:9" x14ac:dyDescent="0.3">
      <c r="A98" s="9" t="s">
        <v>204</v>
      </c>
      <c r="B98" s="10" t="s">
        <v>46</v>
      </c>
      <c r="C98" s="10" t="s">
        <v>18</v>
      </c>
      <c r="D98" s="11" t="s">
        <v>29</v>
      </c>
      <c r="E98" s="11" t="s">
        <v>30</v>
      </c>
      <c r="F98" s="12">
        <v>1200</v>
      </c>
      <c r="G98" s="12">
        <v>600</v>
      </c>
      <c r="H98" s="13">
        <v>1</v>
      </c>
      <c r="I98" s="14">
        <v>0.5</v>
      </c>
    </row>
    <row r="99" spans="1:9" x14ac:dyDescent="0.3">
      <c r="A99" s="3" t="s">
        <v>205</v>
      </c>
      <c r="B99" s="4" t="s">
        <v>48</v>
      </c>
      <c r="C99" s="4" t="s">
        <v>23</v>
      </c>
      <c r="D99" s="5" t="s">
        <v>33</v>
      </c>
      <c r="E99" s="5" t="s">
        <v>34</v>
      </c>
      <c r="F99" s="6">
        <v>1600</v>
      </c>
      <c r="G99" s="6">
        <v>800</v>
      </c>
      <c r="H99" s="7">
        <v>2</v>
      </c>
      <c r="I99" s="8">
        <v>0.5</v>
      </c>
    </row>
    <row r="100" spans="1:9" x14ac:dyDescent="0.3">
      <c r="A100" s="9" t="s">
        <v>206</v>
      </c>
      <c r="B100" s="10" t="s">
        <v>50</v>
      </c>
      <c r="C100" s="10" t="s">
        <v>28</v>
      </c>
      <c r="D100" s="11" t="s">
        <v>37</v>
      </c>
      <c r="E100" s="11" t="s">
        <v>38</v>
      </c>
      <c r="F100" s="12">
        <v>29700</v>
      </c>
      <c r="G100" s="12">
        <v>18500</v>
      </c>
      <c r="H100" s="13">
        <v>6</v>
      </c>
      <c r="I100" s="14">
        <v>0.377</v>
      </c>
    </row>
    <row r="101" spans="1:9" x14ac:dyDescent="0.3">
      <c r="A101" s="3" t="s">
        <v>207</v>
      </c>
      <c r="B101" s="4" t="s">
        <v>52</v>
      </c>
      <c r="C101" s="4" t="s">
        <v>13</v>
      </c>
      <c r="D101" s="5" t="s">
        <v>14</v>
      </c>
      <c r="E101" s="5" t="s">
        <v>15</v>
      </c>
      <c r="F101" s="6">
        <v>55600</v>
      </c>
      <c r="G101" s="6">
        <v>37000</v>
      </c>
      <c r="H101" s="7">
        <v>2</v>
      </c>
      <c r="I101" s="8">
        <v>0.33500000000000002</v>
      </c>
    </row>
    <row r="102" spans="1:9" x14ac:dyDescent="0.3">
      <c r="A102" s="9" t="s">
        <v>208</v>
      </c>
      <c r="B102" s="10" t="s">
        <v>54</v>
      </c>
      <c r="C102" s="10" t="s">
        <v>18</v>
      </c>
      <c r="D102" s="11" t="s">
        <v>19</v>
      </c>
      <c r="E102" s="11" t="s">
        <v>20</v>
      </c>
      <c r="F102" s="12">
        <v>128500</v>
      </c>
      <c r="G102" s="12">
        <v>88300</v>
      </c>
      <c r="H102" s="13">
        <v>4</v>
      </c>
      <c r="I102" s="14">
        <v>0.313</v>
      </c>
    </row>
    <row r="103" spans="1:9" x14ac:dyDescent="0.3">
      <c r="A103" s="3" t="s">
        <v>209</v>
      </c>
      <c r="B103" s="4" t="s">
        <v>56</v>
      </c>
      <c r="C103" s="4" t="s">
        <v>23</v>
      </c>
      <c r="D103" s="5" t="s">
        <v>24</v>
      </c>
      <c r="E103" s="5" t="s">
        <v>25</v>
      </c>
      <c r="F103" s="6">
        <v>10400</v>
      </c>
      <c r="G103" s="6">
        <v>6000</v>
      </c>
      <c r="H103" s="7">
        <v>3</v>
      </c>
      <c r="I103" s="8">
        <v>0.42299999999999999</v>
      </c>
    </row>
    <row r="104" spans="1:9" x14ac:dyDescent="0.3">
      <c r="A104" s="9" t="s">
        <v>210</v>
      </c>
      <c r="B104" s="10" t="s">
        <v>58</v>
      </c>
      <c r="C104" s="10" t="s">
        <v>28</v>
      </c>
      <c r="D104" s="11" t="s">
        <v>29</v>
      </c>
      <c r="E104" s="11" t="s">
        <v>30</v>
      </c>
      <c r="F104" s="12">
        <v>6000</v>
      </c>
      <c r="G104" s="12">
        <v>2700</v>
      </c>
      <c r="H104" s="13">
        <v>5</v>
      </c>
      <c r="I104" s="14">
        <v>0.55000000000000004</v>
      </c>
    </row>
    <row r="105" spans="1:9" x14ac:dyDescent="0.3">
      <c r="A105" s="3" t="s">
        <v>211</v>
      </c>
      <c r="B105" s="4" t="s">
        <v>60</v>
      </c>
      <c r="C105" s="4" t="s">
        <v>13</v>
      </c>
      <c r="D105" s="5" t="s">
        <v>33</v>
      </c>
      <c r="E105" s="5" t="s">
        <v>34</v>
      </c>
      <c r="F105" s="6">
        <v>1700</v>
      </c>
      <c r="G105" s="6">
        <v>800</v>
      </c>
      <c r="H105" s="7">
        <v>2</v>
      </c>
      <c r="I105" s="8">
        <v>0.52900000000000003</v>
      </c>
    </row>
    <row r="106" spans="1:9" x14ac:dyDescent="0.3">
      <c r="A106" s="9" t="s">
        <v>212</v>
      </c>
      <c r="B106" s="10" t="s">
        <v>62</v>
      </c>
      <c r="C106" s="10" t="s">
        <v>18</v>
      </c>
      <c r="D106" s="11" t="s">
        <v>37</v>
      </c>
      <c r="E106" s="11" t="s">
        <v>38</v>
      </c>
      <c r="F106" s="12">
        <v>9200</v>
      </c>
      <c r="G106" s="12">
        <v>5700</v>
      </c>
      <c r="H106" s="13">
        <v>2</v>
      </c>
      <c r="I106" s="14">
        <v>0.38</v>
      </c>
    </row>
    <row r="107" spans="1:9" x14ac:dyDescent="0.3">
      <c r="A107" s="3" t="s">
        <v>213</v>
      </c>
      <c r="B107" s="4" t="s">
        <v>64</v>
      </c>
      <c r="C107" s="4" t="s">
        <v>23</v>
      </c>
      <c r="D107" s="5" t="s">
        <v>14</v>
      </c>
      <c r="E107" s="5" t="s">
        <v>15</v>
      </c>
      <c r="F107" s="6">
        <v>29800</v>
      </c>
      <c r="G107" s="6">
        <v>19900</v>
      </c>
      <c r="H107" s="7">
        <v>1</v>
      </c>
      <c r="I107" s="8">
        <v>0.33200000000000002</v>
      </c>
    </row>
    <row r="108" spans="1:9" x14ac:dyDescent="0.3">
      <c r="A108" s="9" t="s">
        <v>214</v>
      </c>
      <c r="B108" s="10" t="s">
        <v>66</v>
      </c>
      <c r="C108" s="10" t="s">
        <v>28</v>
      </c>
      <c r="D108" s="11" t="s">
        <v>19</v>
      </c>
      <c r="E108" s="11" t="s">
        <v>20</v>
      </c>
      <c r="F108" s="12">
        <v>123700</v>
      </c>
      <c r="G108" s="12">
        <v>85100</v>
      </c>
      <c r="H108" s="13">
        <v>4</v>
      </c>
      <c r="I108" s="14">
        <v>0.312</v>
      </c>
    </row>
    <row r="109" spans="1:9" x14ac:dyDescent="0.3">
      <c r="A109" s="3" t="s">
        <v>215</v>
      </c>
      <c r="B109" s="4" t="s">
        <v>68</v>
      </c>
      <c r="C109" s="4" t="s">
        <v>13</v>
      </c>
      <c r="D109" s="5" t="s">
        <v>24</v>
      </c>
      <c r="E109" s="5" t="s">
        <v>25</v>
      </c>
      <c r="F109" s="6">
        <v>27900</v>
      </c>
      <c r="G109" s="6">
        <v>16000</v>
      </c>
      <c r="H109" s="7">
        <v>8</v>
      </c>
      <c r="I109" s="8">
        <v>0.42699999999999999</v>
      </c>
    </row>
    <row r="110" spans="1:9" x14ac:dyDescent="0.3">
      <c r="A110" s="9" t="s">
        <v>216</v>
      </c>
      <c r="B110" s="10" t="s">
        <v>70</v>
      </c>
      <c r="C110" s="10" t="s">
        <v>18</v>
      </c>
      <c r="D110" s="11" t="s">
        <v>29</v>
      </c>
      <c r="E110" s="11" t="s">
        <v>30</v>
      </c>
      <c r="F110" s="12">
        <v>8700</v>
      </c>
      <c r="G110" s="12">
        <v>4000</v>
      </c>
      <c r="H110" s="13">
        <v>7</v>
      </c>
      <c r="I110" s="14">
        <v>0.54</v>
      </c>
    </row>
    <row r="111" spans="1:9" x14ac:dyDescent="0.3">
      <c r="A111" s="3" t="s">
        <v>217</v>
      </c>
      <c r="B111" s="4" t="s">
        <v>72</v>
      </c>
      <c r="C111" s="4" t="s">
        <v>23</v>
      </c>
      <c r="D111" s="5" t="s">
        <v>33</v>
      </c>
      <c r="E111" s="5" t="s">
        <v>34</v>
      </c>
      <c r="F111" s="6">
        <v>2500</v>
      </c>
      <c r="G111" s="6">
        <v>1200</v>
      </c>
      <c r="H111" s="7">
        <v>3</v>
      </c>
      <c r="I111" s="8">
        <v>0.52</v>
      </c>
    </row>
    <row r="112" spans="1:9" x14ac:dyDescent="0.3">
      <c r="A112" s="9" t="s">
        <v>218</v>
      </c>
      <c r="B112" s="10" t="s">
        <v>74</v>
      </c>
      <c r="C112" s="10" t="s">
        <v>28</v>
      </c>
      <c r="D112" s="11" t="s">
        <v>37</v>
      </c>
      <c r="E112" s="11" t="s">
        <v>38</v>
      </c>
      <c r="F112" s="12">
        <v>32800</v>
      </c>
      <c r="G112" s="12">
        <v>20500</v>
      </c>
      <c r="H112" s="13">
        <v>7</v>
      </c>
      <c r="I112" s="14">
        <v>0.375</v>
      </c>
    </row>
    <row r="113" spans="1:9" x14ac:dyDescent="0.3">
      <c r="A113" s="3" t="s">
        <v>219</v>
      </c>
      <c r="B113" s="4" t="s">
        <v>76</v>
      </c>
      <c r="C113" s="4" t="s">
        <v>13</v>
      </c>
      <c r="D113" s="5" t="s">
        <v>14</v>
      </c>
      <c r="E113" s="5" t="s">
        <v>15</v>
      </c>
      <c r="F113" s="6">
        <v>223100</v>
      </c>
      <c r="G113" s="6">
        <v>148700</v>
      </c>
      <c r="H113" s="7">
        <v>8</v>
      </c>
      <c r="I113" s="8">
        <v>0.33300000000000002</v>
      </c>
    </row>
    <row r="114" spans="1:9" x14ac:dyDescent="0.3">
      <c r="A114" s="9" t="s">
        <v>220</v>
      </c>
      <c r="B114" s="10" t="s">
        <v>78</v>
      </c>
      <c r="C114" s="10" t="s">
        <v>18</v>
      </c>
      <c r="D114" s="11" t="s">
        <v>19</v>
      </c>
      <c r="E114" s="11" t="s">
        <v>20</v>
      </c>
      <c r="F114" s="12">
        <v>247200</v>
      </c>
      <c r="G114" s="12">
        <v>169900</v>
      </c>
      <c r="H114" s="13">
        <v>8</v>
      </c>
      <c r="I114" s="14">
        <v>0.313</v>
      </c>
    </row>
    <row r="115" spans="1:9" x14ac:dyDescent="0.3">
      <c r="A115" s="3" t="s">
        <v>221</v>
      </c>
      <c r="B115" s="4" t="s">
        <v>80</v>
      </c>
      <c r="C115" s="4" t="s">
        <v>23</v>
      </c>
      <c r="D115" s="5" t="s">
        <v>24</v>
      </c>
      <c r="E115" s="5" t="s">
        <v>25</v>
      </c>
      <c r="F115" s="6">
        <v>17000</v>
      </c>
      <c r="G115" s="6">
        <v>9700</v>
      </c>
      <c r="H115" s="7">
        <v>5</v>
      </c>
      <c r="I115" s="8">
        <v>0.42899999999999999</v>
      </c>
    </row>
    <row r="116" spans="1:9" x14ac:dyDescent="0.3">
      <c r="A116" s="9" t="s">
        <v>222</v>
      </c>
      <c r="B116" s="10" t="s">
        <v>82</v>
      </c>
      <c r="C116" s="10" t="s">
        <v>28</v>
      </c>
      <c r="D116" s="11" t="s">
        <v>29</v>
      </c>
      <c r="E116" s="11" t="s">
        <v>30</v>
      </c>
      <c r="F116" s="12">
        <v>1200</v>
      </c>
      <c r="G116" s="12">
        <v>600</v>
      </c>
      <c r="H116" s="13">
        <v>1</v>
      </c>
      <c r="I116" s="14">
        <v>0.5</v>
      </c>
    </row>
    <row r="117" spans="1:9" x14ac:dyDescent="0.3">
      <c r="A117" s="3" t="s">
        <v>223</v>
      </c>
      <c r="B117" s="4" t="s">
        <v>84</v>
      </c>
      <c r="C117" s="4" t="s">
        <v>13</v>
      </c>
      <c r="D117" s="5" t="s">
        <v>33</v>
      </c>
      <c r="E117" s="5" t="s">
        <v>34</v>
      </c>
      <c r="F117" s="6">
        <v>900</v>
      </c>
      <c r="G117" s="6">
        <v>400</v>
      </c>
      <c r="H117" s="7">
        <v>1</v>
      </c>
      <c r="I117" s="8">
        <v>0.55600000000000005</v>
      </c>
    </row>
    <row r="118" spans="1:9" x14ac:dyDescent="0.3">
      <c r="A118" s="9" t="s">
        <v>224</v>
      </c>
      <c r="B118" s="10" t="s">
        <v>86</v>
      </c>
      <c r="C118" s="10" t="s">
        <v>18</v>
      </c>
      <c r="D118" s="11" t="s">
        <v>37</v>
      </c>
      <c r="E118" s="11" t="s">
        <v>38</v>
      </c>
      <c r="F118" s="12">
        <v>4600</v>
      </c>
      <c r="G118" s="12">
        <v>2900</v>
      </c>
      <c r="H118" s="13">
        <v>1</v>
      </c>
      <c r="I118" s="14">
        <v>0.37</v>
      </c>
    </row>
    <row r="119" spans="1:9" x14ac:dyDescent="0.3">
      <c r="A119" s="3" t="s">
        <v>225</v>
      </c>
      <c r="B119" s="4" t="s">
        <v>88</v>
      </c>
      <c r="C119" s="4" t="s">
        <v>23</v>
      </c>
      <c r="D119" s="5" t="s">
        <v>14</v>
      </c>
      <c r="E119" s="5" t="s">
        <v>15</v>
      </c>
      <c r="F119" s="6">
        <v>228100</v>
      </c>
      <c r="G119" s="6">
        <v>152000</v>
      </c>
      <c r="H119" s="7">
        <v>8</v>
      </c>
      <c r="I119" s="8">
        <v>0.33400000000000002</v>
      </c>
    </row>
    <row r="120" spans="1:9" x14ac:dyDescent="0.3">
      <c r="A120" s="9" t="s">
        <v>226</v>
      </c>
      <c r="B120" s="10" t="s">
        <v>90</v>
      </c>
      <c r="C120" s="10" t="s">
        <v>28</v>
      </c>
      <c r="D120" s="11" t="s">
        <v>19</v>
      </c>
      <c r="E120" s="11" t="s">
        <v>20</v>
      </c>
      <c r="F120" s="12">
        <v>91700</v>
      </c>
      <c r="G120" s="12">
        <v>63100</v>
      </c>
      <c r="H120" s="13">
        <v>3</v>
      </c>
      <c r="I120" s="14">
        <v>0.312</v>
      </c>
    </row>
    <row r="121" spans="1:9" x14ac:dyDescent="0.3">
      <c r="A121" s="3" t="s">
        <v>227</v>
      </c>
      <c r="B121" s="4" t="s">
        <v>92</v>
      </c>
      <c r="C121" s="4" t="s">
        <v>13</v>
      </c>
      <c r="D121" s="5" t="s">
        <v>24</v>
      </c>
      <c r="E121" s="5" t="s">
        <v>25</v>
      </c>
      <c r="F121" s="6">
        <v>7200</v>
      </c>
      <c r="G121" s="6">
        <v>4100</v>
      </c>
      <c r="H121" s="7">
        <v>2</v>
      </c>
      <c r="I121" s="8">
        <v>0.43099999999999999</v>
      </c>
    </row>
    <row r="122" spans="1:9" x14ac:dyDescent="0.3">
      <c r="A122" s="9" t="s">
        <v>228</v>
      </c>
      <c r="B122" s="10" t="s">
        <v>94</v>
      </c>
      <c r="C122" s="10" t="s">
        <v>18</v>
      </c>
      <c r="D122" s="11" t="s">
        <v>29</v>
      </c>
      <c r="E122" s="11" t="s">
        <v>30</v>
      </c>
      <c r="F122" s="12">
        <v>2400</v>
      </c>
      <c r="G122" s="12">
        <v>1100</v>
      </c>
      <c r="H122" s="13">
        <v>2</v>
      </c>
      <c r="I122" s="14">
        <v>0.54200000000000004</v>
      </c>
    </row>
    <row r="123" spans="1:9" x14ac:dyDescent="0.3">
      <c r="A123" s="3" t="s">
        <v>229</v>
      </c>
      <c r="B123" s="4" t="s">
        <v>96</v>
      </c>
      <c r="C123" s="4" t="s">
        <v>23</v>
      </c>
      <c r="D123" s="5" t="s">
        <v>33</v>
      </c>
      <c r="E123" s="5" t="s">
        <v>34</v>
      </c>
      <c r="F123" s="6">
        <v>3400</v>
      </c>
      <c r="G123" s="6">
        <v>1600</v>
      </c>
      <c r="H123" s="7">
        <v>4</v>
      </c>
      <c r="I123" s="8">
        <v>0.52900000000000003</v>
      </c>
    </row>
    <row r="124" spans="1:9" x14ac:dyDescent="0.3">
      <c r="A124" s="9" t="s">
        <v>230</v>
      </c>
      <c r="B124" s="10" t="s">
        <v>98</v>
      </c>
      <c r="C124" s="10" t="s">
        <v>28</v>
      </c>
      <c r="D124" s="11" t="s">
        <v>37</v>
      </c>
      <c r="E124" s="11" t="s">
        <v>38</v>
      </c>
      <c r="F124" s="12">
        <v>19400</v>
      </c>
      <c r="G124" s="12">
        <v>12100</v>
      </c>
      <c r="H124" s="13">
        <v>4</v>
      </c>
      <c r="I124" s="14">
        <v>0.376</v>
      </c>
    </row>
  </sheetData>
  <mergeCells count="2">
    <mergeCell ref="A2:I2"/>
    <mergeCell ref="A3:I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EAA"/>
  </sheetPr>
  <dimension ref="B1:G40"/>
  <sheetViews>
    <sheetView showGridLines="0" zoomScaleNormal="100" workbookViewId="0"/>
  </sheetViews>
  <sheetFormatPr defaultColWidth="8.6640625" defaultRowHeight="14.4" x14ac:dyDescent="0.3"/>
  <cols>
    <col min="1" max="1" width="3" customWidth="1"/>
    <col min="2" max="2" width="22" customWidth="1"/>
    <col min="3" max="7" width="14" customWidth="1"/>
    <col min="8" max="8" width="3" customWidth="1"/>
  </cols>
  <sheetData>
    <row r="1" spans="2:7" ht="7.5" customHeight="1" x14ac:dyDescent="0.3"/>
    <row r="2" spans="2:7" ht="36" customHeight="1" x14ac:dyDescent="0.3">
      <c r="B2" s="88" t="s">
        <v>231</v>
      </c>
      <c r="C2" s="88"/>
      <c r="D2" s="88"/>
      <c r="E2" s="88"/>
      <c r="F2" s="88"/>
      <c r="G2" s="88"/>
    </row>
    <row r="3" spans="2:7" ht="30" customHeight="1" x14ac:dyDescent="0.3">
      <c r="B3" s="84" t="s">
        <v>232</v>
      </c>
      <c r="C3" s="84"/>
      <c r="D3" s="84"/>
      <c r="E3" s="84"/>
      <c r="F3" s="84"/>
      <c r="G3" s="84"/>
    </row>
    <row r="5" spans="2:7" ht="21.75" customHeight="1" x14ac:dyDescent="0.3">
      <c r="B5" s="97" t="s">
        <v>233</v>
      </c>
      <c r="C5" s="97"/>
      <c r="D5" s="97"/>
      <c r="E5" s="97"/>
      <c r="F5" s="97"/>
      <c r="G5" s="97"/>
    </row>
    <row r="6" spans="2:7" ht="36" customHeight="1" x14ac:dyDescent="0.3">
      <c r="B6" s="15" t="s">
        <v>234</v>
      </c>
      <c r="C6" s="94" t="s">
        <v>235</v>
      </c>
      <c r="D6" s="94"/>
      <c r="E6" s="94"/>
      <c r="F6" s="94"/>
      <c r="G6" s="94"/>
    </row>
    <row r="7" spans="2:7" ht="36" customHeight="1" x14ac:dyDescent="0.3">
      <c r="B7" s="16" t="s">
        <v>236</v>
      </c>
      <c r="C7" s="95" t="s">
        <v>237</v>
      </c>
      <c r="D7" s="95"/>
      <c r="E7" s="95"/>
      <c r="F7" s="95"/>
      <c r="G7" s="95"/>
    </row>
    <row r="8" spans="2:7" ht="36" customHeight="1" x14ac:dyDescent="0.3">
      <c r="B8" s="15" t="s">
        <v>238</v>
      </c>
      <c r="C8" s="94" t="s">
        <v>239</v>
      </c>
      <c r="D8" s="94"/>
      <c r="E8" s="94"/>
      <c r="F8" s="94"/>
      <c r="G8" s="94"/>
    </row>
    <row r="9" spans="2:7" ht="36" customHeight="1" x14ac:dyDescent="0.3">
      <c r="B9" s="16" t="s">
        <v>240</v>
      </c>
      <c r="C9" s="95" t="s">
        <v>241</v>
      </c>
      <c r="D9" s="95"/>
      <c r="E9" s="95"/>
      <c r="F9" s="95"/>
      <c r="G9" s="95"/>
    </row>
    <row r="10" spans="2:7" ht="36" customHeight="1" x14ac:dyDescent="0.3">
      <c r="B10" s="15" t="s">
        <v>242</v>
      </c>
      <c r="C10" s="94" t="s">
        <v>243</v>
      </c>
      <c r="D10" s="94"/>
      <c r="E10" s="94"/>
      <c r="F10" s="94"/>
      <c r="G10" s="94"/>
    </row>
    <row r="12" spans="2:7" ht="21.75" customHeight="1" x14ac:dyDescent="0.3">
      <c r="B12" s="96" t="s">
        <v>244</v>
      </c>
      <c r="C12" s="96"/>
      <c r="D12" s="96"/>
      <c r="E12" s="96"/>
      <c r="F12" s="96"/>
      <c r="G12" s="96"/>
    </row>
    <row r="13" spans="2:7" ht="37.5" customHeight="1" x14ac:dyDescent="0.3">
      <c r="B13" s="17" t="s">
        <v>245</v>
      </c>
      <c r="C13" s="92" t="s">
        <v>246</v>
      </c>
      <c r="D13" s="92"/>
      <c r="E13" s="92"/>
      <c r="F13" s="92"/>
      <c r="G13" s="92"/>
    </row>
    <row r="14" spans="2:7" ht="37.5" customHeight="1" x14ac:dyDescent="0.3">
      <c r="B14" s="17" t="s">
        <v>247</v>
      </c>
      <c r="C14" s="92" t="s">
        <v>248</v>
      </c>
      <c r="D14" s="92"/>
      <c r="E14" s="92"/>
      <c r="F14" s="92"/>
      <c r="G14" s="92"/>
    </row>
    <row r="15" spans="2:7" ht="37.5" customHeight="1" x14ac:dyDescent="0.3">
      <c r="B15" s="17" t="s">
        <v>249</v>
      </c>
      <c r="C15" s="92" t="s">
        <v>250</v>
      </c>
      <c r="D15" s="92"/>
      <c r="E15" s="92"/>
      <c r="F15" s="92"/>
      <c r="G15" s="92"/>
    </row>
    <row r="16" spans="2:7" ht="37.5" customHeight="1" x14ac:dyDescent="0.3">
      <c r="B16" s="17" t="s">
        <v>251</v>
      </c>
      <c r="C16" s="92" t="s">
        <v>252</v>
      </c>
      <c r="D16" s="92"/>
      <c r="E16" s="92"/>
      <c r="F16" s="92"/>
      <c r="G16" s="92"/>
    </row>
    <row r="17" spans="2:7" ht="37.5" customHeight="1" x14ac:dyDescent="0.3">
      <c r="B17" s="18" t="s">
        <v>253</v>
      </c>
      <c r="C17" s="93" t="s">
        <v>254</v>
      </c>
      <c r="D17" s="93"/>
      <c r="E17" s="93"/>
      <c r="F17" s="93"/>
      <c r="G17" s="93"/>
    </row>
    <row r="18" spans="2:7" ht="37.5" customHeight="1" x14ac:dyDescent="0.3">
      <c r="B18" s="18" t="s">
        <v>255</v>
      </c>
      <c r="C18" s="93" t="s">
        <v>256</v>
      </c>
      <c r="D18" s="93"/>
      <c r="E18" s="93"/>
      <c r="F18" s="93"/>
      <c r="G18" s="93"/>
    </row>
    <row r="19" spans="2:7" ht="37.5" customHeight="1" x14ac:dyDescent="0.3">
      <c r="B19" s="19" t="s">
        <v>257</v>
      </c>
      <c r="C19" s="90" t="s">
        <v>258</v>
      </c>
      <c r="D19" s="90"/>
      <c r="E19" s="90"/>
      <c r="F19" s="90"/>
      <c r="G19" s="90"/>
    </row>
    <row r="20" spans="2:7" ht="37.5" customHeight="1" x14ac:dyDescent="0.3">
      <c r="B20" s="19" t="s">
        <v>259</v>
      </c>
      <c r="C20" s="90" t="s">
        <v>260</v>
      </c>
      <c r="D20" s="90"/>
      <c r="E20" s="90"/>
      <c r="F20" s="90"/>
      <c r="G20" s="90"/>
    </row>
    <row r="21" spans="2:7" ht="37.5" customHeight="1" x14ac:dyDescent="0.3">
      <c r="B21" s="19" t="s">
        <v>261</v>
      </c>
      <c r="C21" s="90" t="s">
        <v>262</v>
      </c>
      <c r="D21" s="90"/>
      <c r="E21" s="90"/>
      <c r="F21" s="90"/>
      <c r="G21" s="90"/>
    </row>
    <row r="22" spans="2:7" ht="37.5" customHeight="1" x14ac:dyDescent="0.3">
      <c r="B22" s="20" t="s">
        <v>263</v>
      </c>
      <c r="C22" s="91" t="s">
        <v>264</v>
      </c>
      <c r="D22" s="91"/>
      <c r="E22" s="91"/>
      <c r="F22" s="91"/>
      <c r="G22" s="91"/>
    </row>
    <row r="24" spans="2:7" ht="21.75" customHeight="1" x14ac:dyDescent="0.3">
      <c r="B24" s="89" t="s">
        <v>265</v>
      </c>
      <c r="C24" s="89"/>
      <c r="D24" s="89"/>
      <c r="E24" s="89"/>
      <c r="F24" s="89"/>
      <c r="G24" s="89"/>
    </row>
    <row r="25" spans="2:7" x14ac:dyDescent="0.3">
      <c r="B25" s="2" t="s">
        <v>4</v>
      </c>
      <c r="C25" s="2" t="s">
        <v>266</v>
      </c>
      <c r="D25" s="2" t="s">
        <v>267</v>
      </c>
    </row>
    <row r="26" spans="2:7" x14ac:dyDescent="0.3">
      <c r="B26" s="21" t="s">
        <v>13</v>
      </c>
      <c r="C26" s="22">
        <v>1336500</v>
      </c>
      <c r="D26" s="23">
        <v>0.20100000000000001</v>
      </c>
    </row>
    <row r="27" spans="2:7" x14ac:dyDescent="0.3">
      <c r="B27" s="24" t="s">
        <v>18</v>
      </c>
      <c r="C27" s="25">
        <v>1871900</v>
      </c>
      <c r="D27" s="26">
        <v>0.28199999999999997</v>
      </c>
    </row>
    <row r="28" spans="2:7" x14ac:dyDescent="0.3">
      <c r="B28" s="21" t="s">
        <v>23</v>
      </c>
      <c r="C28" s="22">
        <v>1573900</v>
      </c>
      <c r="D28" s="23">
        <v>0.23699999999999999</v>
      </c>
    </row>
    <row r="29" spans="2:7" x14ac:dyDescent="0.3">
      <c r="B29" s="24" t="s">
        <v>28</v>
      </c>
      <c r="C29" s="25">
        <v>1861900</v>
      </c>
      <c r="D29" s="26">
        <v>0.28000000000000003</v>
      </c>
    </row>
    <row r="30" spans="2:7" x14ac:dyDescent="0.3">
      <c r="B30" s="2" t="s">
        <v>268</v>
      </c>
      <c r="C30" s="27">
        <v>6644200</v>
      </c>
      <c r="D30" s="28">
        <v>1</v>
      </c>
    </row>
    <row r="32" spans="2:7" ht="21.75" customHeight="1" x14ac:dyDescent="0.3">
      <c r="B32" s="89" t="s">
        <v>269</v>
      </c>
      <c r="C32" s="89"/>
      <c r="D32" s="89"/>
      <c r="E32" s="89"/>
      <c r="F32" s="89"/>
      <c r="G32" s="89"/>
    </row>
    <row r="33" spans="2:4" x14ac:dyDescent="0.3">
      <c r="B33" s="2" t="s">
        <v>5</v>
      </c>
      <c r="C33" s="2" t="s">
        <v>266</v>
      </c>
      <c r="D33" s="2" t="s">
        <v>267</v>
      </c>
    </row>
    <row r="34" spans="2:4" x14ac:dyDescent="0.3">
      <c r="B34" s="29" t="s">
        <v>14</v>
      </c>
      <c r="C34" s="22">
        <v>2480300</v>
      </c>
      <c r="D34" s="23">
        <v>0.373</v>
      </c>
    </row>
    <row r="35" spans="2:4" x14ac:dyDescent="0.3">
      <c r="B35" s="30" t="s">
        <v>19</v>
      </c>
      <c r="C35" s="25">
        <v>3296700</v>
      </c>
      <c r="D35" s="26">
        <v>0.496</v>
      </c>
    </row>
    <row r="36" spans="2:4" x14ac:dyDescent="0.3">
      <c r="B36" s="29" t="s">
        <v>24</v>
      </c>
      <c r="C36" s="22">
        <v>371900</v>
      </c>
      <c r="D36" s="23">
        <v>5.6000000000000001E-2</v>
      </c>
    </row>
    <row r="37" spans="2:4" x14ac:dyDescent="0.3">
      <c r="B37" s="30" t="s">
        <v>29</v>
      </c>
      <c r="C37" s="25">
        <v>89000</v>
      </c>
      <c r="D37" s="26">
        <v>1.2999999999999999E-2</v>
      </c>
    </row>
    <row r="38" spans="2:4" x14ac:dyDescent="0.3">
      <c r="B38" s="29" t="s">
        <v>33</v>
      </c>
      <c r="C38" s="22">
        <v>58200</v>
      </c>
      <c r="D38" s="23">
        <v>8.9999999999999993E-3</v>
      </c>
    </row>
    <row r="39" spans="2:4" x14ac:dyDescent="0.3">
      <c r="B39" s="30" t="s">
        <v>37</v>
      </c>
      <c r="C39" s="25">
        <v>348100</v>
      </c>
      <c r="D39" s="26">
        <v>5.1999999999999998E-2</v>
      </c>
    </row>
    <row r="40" spans="2:4" x14ac:dyDescent="0.3">
      <c r="B40" s="2" t="s">
        <v>268</v>
      </c>
      <c r="C40" s="27">
        <v>6644200</v>
      </c>
      <c r="D40" s="31"/>
    </row>
  </sheetData>
  <mergeCells count="21">
    <mergeCell ref="B2:G2"/>
    <mergeCell ref="B3:G3"/>
    <mergeCell ref="B5:G5"/>
    <mergeCell ref="C6:G6"/>
    <mergeCell ref="C7:G7"/>
    <mergeCell ref="C8:G8"/>
    <mergeCell ref="C9:G9"/>
    <mergeCell ref="C10:G10"/>
    <mergeCell ref="B12:G12"/>
    <mergeCell ref="C13:G13"/>
    <mergeCell ref="C14:G14"/>
    <mergeCell ref="C15:G15"/>
    <mergeCell ref="C16:G16"/>
    <mergeCell ref="C17:G17"/>
    <mergeCell ref="C18:G18"/>
    <mergeCell ref="B32:G32"/>
    <mergeCell ref="C19:G19"/>
    <mergeCell ref="C20:G20"/>
    <mergeCell ref="C21:G21"/>
    <mergeCell ref="C22:G22"/>
    <mergeCell ref="B24:G2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A5C2A"/>
  </sheetPr>
  <dimension ref="B1:I52"/>
  <sheetViews>
    <sheetView showGridLines="0" tabSelected="1" topLeftCell="A16" zoomScaleNormal="100" workbookViewId="0">
      <selection activeCell="G31" sqref="G31"/>
    </sheetView>
  </sheetViews>
  <sheetFormatPr defaultColWidth="8.6640625" defaultRowHeight="14.4" x14ac:dyDescent="0.3"/>
  <cols>
    <col min="1" max="1" width="2" customWidth="1"/>
    <col min="2" max="2" width="12.5546875" bestFit="1" customWidth="1"/>
    <col min="3" max="3" width="17.77734375" bestFit="1" customWidth="1"/>
    <col min="4" max="4" width="13.21875" bestFit="1" customWidth="1"/>
    <col min="5" max="9" width="14" customWidth="1"/>
    <col min="10" max="10" width="2" customWidth="1"/>
  </cols>
  <sheetData>
    <row r="1" spans="2:9" ht="6" customHeight="1" x14ac:dyDescent="0.3"/>
    <row r="2" spans="2:9" ht="39.75" customHeight="1" x14ac:dyDescent="0.3">
      <c r="B2" s="83" t="s">
        <v>270</v>
      </c>
      <c r="C2" s="83"/>
      <c r="D2" s="83"/>
      <c r="E2" s="83"/>
      <c r="F2" s="83"/>
      <c r="G2" s="83"/>
      <c r="H2" s="83"/>
      <c r="I2" s="83"/>
    </row>
    <row r="3" spans="2:9" ht="27.75" customHeight="1" x14ac:dyDescent="0.3">
      <c r="B3" s="84" t="s">
        <v>271</v>
      </c>
      <c r="C3" s="84"/>
      <c r="D3" s="84"/>
      <c r="E3" s="84"/>
      <c r="F3" s="84"/>
      <c r="G3" s="84"/>
      <c r="H3" s="84"/>
      <c r="I3" s="84"/>
    </row>
    <row r="5" spans="2:9" ht="24" customHeight="1" x14ac:dyDescent="0.3">
      <c r="B5" s="85" t="s">
        <v>272</v>
      </c>
      <c r="C5" s="85"/>
      <c r="D5" s="85"/>
      <c r="E5" s="85"/>
      <c r="F5" s="85"/>
      <c r="G5" s="85"/>
      <c r="H5" s="85"/>
      <c r="I5" s="85"/>
    </row>
    <row r="6" spans="2:9" ht="21.75" customHeight="1" x14ac:dyDescent="0.3">
      <c r="B6" s="86" t="s">
        <v>273</v>
      </c>
      <c r="C6" s="86"/>
      <c r="D6" s="86"/>
      <c r="E6" s="86"/>
      <c r="F6" s="86"/>
      <c r="G6" s="86"/>
      <c r="H6" s="86"/>
      <c r="I6" s="86"/>
    </row>
    <row r="7" spans="2:9" ht="21.75" customHeight="1" x14ac:dyDescent="0.3">
      <c r="B7" s="87" t="s">
        <v>274</v>
      </c>
      <c r="C7" s="87"/>
      <c r="D7" s="87"/>
      <c r="E7" s="87"/>
      <c r="F7" s="87"/>
      <c r="G7" s="87"/>
      <c r="H7" s="87"/>
      <c r="I7" s="87"/>
    </row>
    <row r="8" spans="2:9" ht="18" customHeight="1" x14ac:dyDescent="0.3">
      <c r="B8" s="69" t="s">
        <v>390</v>
      </c>
      <c r="C8" t="s">
        <v>391</v>
      </c>
      <c r="D8" s="32"/>
      <c r="E8" s="32"/>
      <c r="F8" s="32"/>
      <c r="G8" s="32"/>
      <c r="H8" s="32"/>
      <c r="I8" s="32"/>
    </row>
    <row r="9" spans="2:9" ht="18" customHeight="1" x14ac:dyDescent="0.3">
      <c r="B9" s="73" t="s">
        <v>23</v>
      </c>
      <c r="C9" s="72">
        <v>1573900</v>
      </c>
      <c r="D9" s="32"/>
      <c r="E9" s="32"/>
      <c r="F9" s="32"/>
      <c r="G9" s="32"/>
      <c r="H9" s="32"/>
      <c r="I9" s="32"/>
    </row>
    <row r="10" spans="2:9" ht="18" customHeight="1" x14ac:dyDescent="0.3">
      <c r="B10" s="73" t="s">
        <v>13</v>
      </c>
      <c r="C10" s="72">
        <v>1336500</v>
      </c>
      <c r="D10" s="32"/>
      <c r="E10" s="32"/>
      <c r="F10" s="32"/>
      <c r="G10" s="32"/>
      <c r="H10" s="32"/>
      <c r="I10" s="32"/>
    </row>
    <row r="11" spans="2:9" ht="18" customHeight="1" x14ac:dyDescent="0.3">
      <c r="B11" s="73" t="s">
        <v>18</v>
      </c>
      <c r="C11" s="72">
        <v>1871900</v>
      </c>
      <c r="D11" s="32"/>
      <c r="E11" s="32"/>
      <c r="F11" s="32"/>
      <c r="G11" s="32"/>
      <c r="H11" s="32"/>
      <c r="I11" s="32"/>
    </row>
    <row r="12" spans="2:9" ht="18" customHeight="1" x14ac:dyDescent="0.3">
      <c r="B12" s="73" t="s">
        <v>28</v>
      </c>
      <c r="C12" s="72">
        <v>1861900</v>
      </c>
      <c r="D12" s="32"/>
      <c r="E12" s="33" t="s">
        <v>275</v>
      </c>
      <c r="F12" s="32"/>
      <c r="G12" s="32"/>
      <c r="H12" s="32"/>
      <c r="I12" s="32"/>
    </row>
    <row r="13" spans="2:9" ht="18" customHeight="1" x14ac:dyDescent="0.3">
      <c r="B13" s="70" t="s">
        <v>268</v>
      </c>
      <c r="C13" s="71">
        <v>6644200</v>
      </c>
      <c r="D13" s="32"/>
      <c r="E13" s="32"/>
      <c r="F13" s="32"/>
      <c r="G13" s="32"/>
      <c r="H13" s="32"/>
      <c r="I13" s="32"/>
    </row>
    <row r="14" spans="2:9" ht="18" customHeight="1" x14ac:dyDescent="0.3">
      <c r="B14" s="32"/>
      <c r="C14" s="32"/>
      <c r="D14" s="32"/>
      <c r="E14" s="32"/>
      <c r="F14" s="32"/>
      <c r="G14" s="32"/>
      <c r="H14" s="32"/>
      <c r="I14" s="32"/>
    </row>
    <row r="15" spans="2:9" ht="18" customHeight="1" x14ac:dyDescent="0.3">
      <c r="B15" s="32"/>
      <c r="C15" s="32"/>
      <c r="D15" s="32"/>
      <c r="E15" s="32"/>
      <c r="F15" s="32"/>
      <c r="G15" s="32"/>
      <c r="H15" s="32"/>
      <c r="I15" s="32"/>
    </row>
    <row r="16" spans="2:9" ht="18" customHeight="1" x14ac:dyDescent="0.3">
      <c r="B16" s="32"/>
      <c r="C16" s="32"/>
      <c r="D16" s="32"/>
      <c r="E16" s="32"/>
      <c r="F16" s="32"/>
      <c r="G16" s="32"/>
      <c r="H16" s="32"/>
      <c r="I16" s="32"/>
    </row>
    <row r="19" spans="2:9" ht="24" customHeight="1" x14ac:dyDescent="0.3">
      <c r="B19" s="78" t="s">
        <v>276</v>
      </c>
      <c r="C19" s="78"/>
      <c r="D19" s="78"/>
      <c r="E19" s="78"/>
      <c r="F19" s="78"/>
      <c r="G19" s="78"/>
      <c r="H19" s="78"/>
      <c r="I19" s="78"/>
    </row>
    <row r="20" spans="2:9" ht="21.75" customHeight="1" x14ac:dyDescent="0.3">
      <c r="B20" s="79" t="s">
        <v>277</v>
      </c>
      <c r="C20" s="79"/>
      <c r="D20" s="79"/>
      <c r="E20" s="79"/>
      <c r="F20" s="79"/>
      <c r="G20" s="79"/>
      <c r="H20" s="79"/>
      <c r="I20" s="79"/>
    </row>
    <row r="21" spans="2:9" ht="21.75" customHeight="1" x14ac:dyDescent="0.3">
      <c r="B21" s="80" t="s">
        <v>278</v>
      </c>
      <c r="C21" s="80"/>
      <c r="D21" s="80"/>
      <c r="E21" s="80"/>
      <c r="F21" s="80"/>
      <c r="G21" s="80"/>
      <c r="H21" s="80"/>
      <c r="I21" s="80"/>
    </row>
    <row r="22" spans="2:9" ht="18" customHeight="1" x14ac:dyDescent="0.3">
      <c r="B22" s="69" t="s">
        <v>390</v>
      </c>
      <c r="C22" s="69" t="s">
        <v>391</v>
      </c>
      <c r="D22" t="s">
        <v>397</v>
      </c>
      <c r="E22" s="32"/>
      <c r="F22" s="32"/>
      <c r="G22" s="32"/>
      <c r="H22" s="32"/>
      <c r="I22" s="32"/>
    </row>
    <row r="23" spans="2:9" ht="18" customHeight="1" x14ac:dyDescent="0.3">
      <c r="B23" s="70" t="s">
        <v>19</v>
      </c>
      <c r="C23" s="71">
        <v>3296700</v>
      </c>
      <c r="D23" s="105">
        <v>20</v>
      </c>
      <c r="E23" s="32"/>
      <c r="F23" s="32"/>
      <c r="G23" s="32"/>
      <c r="H23" s="32"/>
      <c r="I23" s="32"/>
    </row>
    <row r="24" spans="2:9" ht="18" customHeight="1" x14ac:dyDescent="0.3">
      <c r="B24" s="70" t="s">
        <v>14</v>
      </c>
      <c r="C24" s="71">
        <v>2480300</v>
      </c>
      <c r="D24" s="105">
        <v>20</v>
      </c>
      <c r="E24" s="32"/>
      <c r="F24" s="32"/>
      <c r="G24" s="32"/>
      <c r="H24" s="32"/>
      <c r="I24" s="32"/>
    </row>
    <row r="25" spans="2:9" ht="18" customHeight="1" x14ac:dyDescent="0.3">
      <c r="B25" s="70" t="s">
        <v>29</v>
      </c>
      <c r="C25" s="71">
        <v>89000</v>
      </c>
      <c r="D25" s="105">
        <v>20</v>
      </c>
      <c r="E25" s="32"/>
      <c r="F25" s="32"/>
      <c r="G25" s="32"/>
      <c r="H25" s="32"/>
      <c r="I25" s="32"/>
    </row>
    <row r="26" spans="2:9" ht="18" customHeight="1" x14ac:dyDescent="0.3">
      <c r="B26" s="70" t="s">
        <v>24</v>
      </c>
      <c r="C26" s="71">
        <v>371900</v>
      </c>
      <c r="D26" s="105">
        <v>20</v>
      </c>
      <c r="E26" s="33" t="s">
        <v>275</v>
      </c>
      <c r="F26" s="32"/>
      <c r="G26" s="32"/>
      <c r="H26" s="32"/>
      <c r="I26" s="32"/>
    </row>
    <row r="27" spans="2:9" ht="18" customHeight="1" x14ac:dyDescent="0.3">
      <c r="B27" s="70" t="s">
        <v>37</v>
      </c>
      <c r="C27" s="71">
        <v>348100</v>
      </c>
      <c r="D27" s="105">
        <v>20</v>
      </c>
      <c r="E27" s="32"/>
      <c r="F27" s="32"/>
      <c r="G27" s="32"/>
      <c r="H27" s="32"/>
      <c r="I27" s="32"/>
    </row>
    <row r="28" spans="2:9" ht="18" customHeight="1" x14ac:dyDescent="0.3">
      <c r="B28" s="70" t="s">
        <v>33</v>
      </c>
      <c r="C28" s="71">
        <v>58200</v>
      </c>
      <c r="D28" s="105">
        <v>20</v>
      </c>
      <c r="E28" s="32"/>
      <c r="F28" s="32"/>
      <c r="G28" s="32"/>
      <c r="H28" s="32"/>
      <c r="I28" s="32"/>
    </row>
    <row r="29" spans="2:9" ht="18" customHeight="1" x14ac:dyDescent="0.3">
      <c r="B29" s="70" t="s">
        <v>268</v>
      </c>
      <c r="C29" s="71">
        <v>6644200</v>
      </c>
      <c r="D29" s="105">
        <v>120</v>
      </c>
      <c r="E29" s="32"/>
      <c r="F29" s="32"/>
      <c r="G29" s="32"/>
      <c r="H29" s="32"/>
      <c r="I29" s="32"/>
    </row>
    <row r="30" spans="2:9" ht="18" customHeight="1" x14ac:dyDescent="0.3">
      <c r="B30" s="32"/>
      <c r="C30" s="32"/>
      <c r="D30" s="32"/>
      <c r="E30" s="32"/>
      <c r="F30" s="32"/>
      <c r="G30" s="32"/>
      <c r="H30" s="32"/>
      <c r="I30" s="32"/>
    </row>
    <row r="33" spans="2:9" ht="24" customHeight="1" x14ac:dyDescent="0.3">
      <c r="B33" s="81" t="s">
        <v>279</v>
      </c>
      <c r="C33" s="81"/>
      <c r="D33" s="81"/>
      <c r="E33" s="81"/>
      <c r="F33" s="81"/>
      <c r="G33" s="81"/>
      <c r="H33" s="81"/>
      <c r="I33" s="81"/>
    </row>
    <row r="34" spans="2:9" ht="21.75" customHeight="1" x14ac:dyDescent="0.3">
      <c r="B34" s="82" t="s">
        <v>280</v>
      </c>
      <c r="C34" s="82"/>
      <c r="D34" s="82"/>
      <c r="E34" s="82"/>
      <c r="F34" s="82"/>
      <c r="G34" s="82"/>
      <c r="H34" s="82"/>
      <c r="I34" s="82"/>
    </row>
    <row r="35" spans="2:9" ht="21.75" customHeight="1" x14ac:dyDescent="0.3">
      <c r="B35" s="75" t="s">
        <v>281</v>
      </c>
      <c r="C35" s="75"/>
      <c r="D35" s="75"/>
      <c r="E35" s="75"/>
      <c r="F35" s="75"/>
      <c r="G35" s="75"/>
      <c r="H35" s="75"/>
      <c r="I35" s="75"/>
    </row>
    <row r="36" spans="2:9" ht="18" customHeight="1" x14ac:dyDescent="0.3">
      <c r="B36" s="69" t="s">
        <v>391</v>
      </c>
      <c r="C36" s="69" t="s">
        <v>392</v>
      </c>
    </row>
    <row r="37" spans="2:9" ht="18" customHeight="1" x14ac:dyDescent="0.3">
      <c r="B37" s="69" t="s">
        <v>390</v>
      </c>
      <c r="C37" t="s">
        <v>19</v>
      </c>
      <c r="D37" t="s">
        <v>14</v>
      </c>
      <c r="E37" t="s">
        <v>29</v>
      </c>
      <c r="F37" t="s">
        <v>24</v>
      </c>
      <c r="G37" t="s">
        <v>37</v>
      </c>
      <c r="H37" t="s">
        <v>33</v>
      </c>
      <c r="I37" t="s">
        <v>268</v>
      </c>
    </row>
    <row r="38" spans="2:9" ht="18" customHeight="1" x14ac:dyDescent="0.3">
      <c r="B38" s="70" t="s">
        <v>23</v>
      </c>
      <c r="C38" s="71"/>
      <c r="D38" s="71">
        <v>1362100</v>
      </c>
      <c r="E38" s="71"/>
      <c r="F38" s="71">
        <v>183400</v>
      </c>
      <c r="G38" s="71"/>
      <c r="H38" s="71">
        <v>28400</v>
      </c>
      <c r="I38" s="71">
        <v>1573900</v>
      </c>
    </row>
    <row r="39" spans="2:9" ht="18" customHeight="1" x14ac:dyDescent="0.3">
      <c r="B39" s="70" t="s">
        <v>13</v>
      </c>
      <c r="C39" s="71"/>
      <c r="D39" s="71">
        <v>1118200</v>
      </c>
      <c r="E39" s="71"/>
      <c r="F39" s="71">
        <v>188500</v>
      </c>
      <c r="G39" s="71"/>
      <c r="H39" s="71">
        <v>29800</v>
      </c>
      <c r="I39" s="71">
        <v>1336500</v>
      </c>
    </row>
    <row r="40" spans="2:9" ht="18" customHeight="1" x14ac:dyDescent="0.3">
      <c r="B40" s="70" t="s">
        <v>18</v>
      </c>
      <c r="C40" s="71">
        <v>1658300</v>
      </c>
      <c r="D40" s="71"/>
      <c r="E40" s="71">
        <v>32700</v>
      </c>
      <c r="F40" s="71"/>
      <c r="G40" s="71">
        <v>180900</v>
      </c>
      <c r="H40" s="71"/>
      <c r="I40" s="71">
        <v>1871900</v>
      </c>
    </row>
    <row r="41" spans="2:9" ht="18" customHeight="1" x14ac:dyDescent="0.3">
      <c r="B41" s="70" t="s">
        <v>28</v>
      </c>
      <c r="C41" s="71">
        <v>1638400</v>
      </c>
      <c r="D41" s="71"/>
      <c r="E41" s="71">
        <v>56300</v>
      </c>
      <c r="F41" s="71"/>
      <c r="G41" s="71">
        <v>167200</v>
      </c>
      <c r="H41" s="71"/>
      <c r="I41" s="71">
        <v>1861900</v>
      </c>
    </row>
    <row r="42" spans="2:9" ht="18" customHeight="1" x14ac:dyDescent="0.3">
      <c r="B42" s="70" t="s">
        <v>268</v>
      </c>
      <c r="C42" s="71">
        <v>3296700</v>
      </c>
      <c r="D42" s="71">
        <v>2480300</v>
      </c>
      <c r="E42" s="71">
        <v>89000</v>
      </c>
      <c r="F42" s="71">
        <v>371900</v>
      </c>
      <c r="G42" s="71">
        <v>348100</v>
      </c>
      <c r="H42" s="71">
        <v>58200</v>
      </c>
      <c r="I42" s="71">
        <v>6644200</v>
      </c>
    </row>
    <row r="43" spans="2:9" ht="18" customHeight="1" x14ac:dyDescent="0.3">
      <c r="B43" s="32"/>
      <c r="C43" s="32"/>
      <c r="D43" s="32"/>
      <c r="E43" s="32"/>
      <c r="F43" s="32"/>
      <c r="G43" s="32"/>
      <c r="H43" s="32"/>
      <c r="I43" s="32"/>
    </row>
    <row r="44" spans="2:9" ht="18" customHeight="1" x14ac:dyDescent="0.3">
      <c r="B44" s="32"/>
      <c r="C44" s="32"/>
      <c r="D44" s="32"/>
      <c r="E44" s="32"/>
      <c r="F44" s="32"/>
      <c r="G44" s="32"/>
      <c r="H44" s="32"/>
      <c r="I44" s="32"/>
    </row>
    <row r="48" spans="2:9" ht="21.75" customHeight="1" x14ac:dyDescent="0.3">
      <c r="B48" s="76" t="s">
        <v>282</v>
      </c>
      <c r="C48" s="76"/>
      <c r="D48" s="76"/>
      <c r="E48" s="76"/>
      <c r="F48" s="76"/>
      <c r="G48" s="76"/>
      <c r="H48" s="76"/>
      <c r="I48" s="76"/>
    </row>
    <row r="49" spans="2:9" ht="30" customHeight="1" x14ac:dyDescent="0.3">
      <c r="B49" s="77" t="s">
        <v>393</v>
      </c>
      <c r="C49" s="77"/>
      <c r="D49" s="77"/>
      <c r="E49" s="77"/>
      <c r="F49" s="77"/>
      <c r="G49" s="77"/>
      <c r="H49" s="77"/>
      <c r="I49" s="77"/>
    </row>
    <row r="50" spans="2:9" ht="30" customHeight="1" x14ac:dyDescent="0.3">
      <c r="B50" s="74" t="s">
        <v>394</v>
      </c>
      <c r="C50" s="74"/>
      <c r="D50" s="74"/>
      <c r="E50" s="74"/>
      <c r="F50" s="74"/>
      <c r="G50" s="74"/>
      <c r="H50" s="74"/>
      <c r="I50" s="74"/>
    </row>
    <row r="51" spans="2:9" ht="30" customHeight="1" x14ac:dyDescent="0.3">
      <c r="B51" s="77" t="s">
        <v>395</v>
      </c>
      <c r="C51" s="77"/>
      <c r="D51" s="77"/>
      <c r="E51" s="77"/>
      <c r="F51" s="77"/>
      <c r="G51" s="77"/>
      <c r="H51" s="77"/>
      <c r="I51" s="77"/>
    </row>
    <row r="52" spans="2:9" ht="30" customHeight="1" x14ac:dyDescent="0.3">
      <c r="B52" s="74" t="s">
        <v>396</v>
      </c>
      <c r="C52" s="74"/>
      <c r="D52" s="74"/>
      <c r="E52" s="74"/>
      <c r="F52" s="74"/>
      <c r="G52" s="74"/>
      <c r="H52" s="74"/>
      <c r="I52" s="74"/>
    </row>
  </sheetData>
  <mergeCells count="16">
    <mergeCell ref="B2:I2"/>
    <mergeCell ref="B3:I3"/>
    <mergeCell ref="B5:I5"/>
    <mergeCell ref="B6:I6"/>
    <mergeCell ref="B7:I7"/>
    <mergeCell ref="B19:I19"/>
    <mergeCell ref="B20:I20"/>
    <mergeCell ref="B21:I21"/>
    <mergeCell ref="B33:I33"/>
    <mergeCell ref="B34:I34"/>
    <mergeCell ref="B52:I52"/>
    <mergeCell ref="B35:I35"/>
    <mergeCell ref="B48:I48"/>
    <mergeCell ref="B49:I49"/>
    <mergeCell ref="B50:I50"/>
    <mergeCell ref="B51:I51"/>
  </mergeCells>
  <pageMargins left="0.75" right="0.75" top="1" bottom="1" header="0.511811023622047" footer="0.511811023622047"/>
  <pageSetup paperSize="9" orientation="portrait" horizontalDpi="300" verticalDpi="300"/>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6000"/>
  </sheetPr>
  <dimension ref="B1:E28"/>
  <sheetViews>
    <sheetView showGridLines="0" topLeftCell="A19" zoomScaleNormal="100" workbookViewId="0">
      <selection activeCell="C9" sqref="C9"/>
    </sheetView>
  </sheetViews>
  <sheetFormatPr defaultColWidth="8.6640625" defaultRowHeight="14.4" x14ac:dyDescent="0.3"/>
  <cols>
    <col min="1" max="1" width="3" customWidth="1"/>
    <col min="2" max="2" width="22" customWidth="1"/>
    <col min="3" max="3" width="18" customWidth="1"/>
    <col min="4" max="4" width="28" customWidth="1"/>
    <col min="5" max="5" width="20" customWidth="1"/>
    <col min="6" max="6" width="3" customWidth="1"/>
  </cols>
  <sheetData>
    <row r="1" spans="2:5" ht="7.5" customHeight="1" x14ac:dyDescent="0.3"/>
    <row r="2" spans="2:5" ht="36" customHeight="1" x14ac:dyDescent="0.3">
      <c r="B2" s="88" t="s">
        <v>283</v>
      </c>
      <c r="C2" s="88"/>
      <c r="D2" s="88"/>
      <c r="E2" s="88"/>
    </row>
    <row r="3" spans="2:5" ht="30" customHeight="1" x14ac:dyDescent="0.3"/>
    <row r="4" spans="2:5" x14ac:dyDescent="0.3">
      <c r="B4" s="98" t="s">
        <v>284</v>
      </c>
      <c r="C4" s="98"/>
      <c r="D4" s="98"/>
      <c r="E4" s="98"/>
    </row>
    <row r="5" spans="2:5" x14ac:dyDescent="0.3">
      <c r="B5" s="2" t="s">
        <v>285</v>
      </c>
      <c r="C5" s="2" t="s">
        <v>286</v>
      </c>
      <c r="D5" s="2" t="s">
        <v>287</v>
      </c>
      <c r="E5" s="2" t="s">
        <v>288</v>
      </c>
    </row>
    <row r="6" spans="2:5" ht="36" customHeight="1" x14ac:dyDescent="0.3">
      <c r="B6" s="35" t="s">
        <v>289</v>
      </c>
      <c r="C6" s="36" t="s">
        <v>290</v>
      </c>
      <c r="D6" s="37" t="s">
        <v>291</v>
      </c>
      <c r="E6" s="1" t="s">
        <v>292</v>
      </c>
    </row>
    <row r="7" spans="2:5" ht="36" customHeight="1" x14ac:dyDescent="0.3">
      <c r="B7" s="38" t="s">
        <v>293</v>
      </c>
      <c r="C7" s="39" t="s">
        <v>294</v>
      </c>
      <c r="D7" s="40" t="s">
        <v>295</v>
      </c>
      <c r="E7" s="41" t="s">
        <v>296</v>
      </c>
    </row>
    <row r="8" spans="2:5" ht="36" customHeight="1" x14ac:dyDescent="0.3">
      <c r="B8" s="35" t="s">
        <v>297</v>
      </c>
      <c r="C8" s="36" t="s">
        <v>298</v>
      </c>
      <c r="D8" s="37" t="s">
        <v>299</v>
      </c>
      <c r="E8" s="1" t="s">
        <v>300</v>
      </c>
    </row>
    <row r="9" spans="2:5" ht="36" customHeight="1" x14ac:dyDescent="0.3">
      <c r="B9" s="38" t="s">
        <v>301</v>
      </c>
      <c r="C9" s="39" t="s">
        <v>302</v>
      </c>
      <c r="D9" s="40" t="s">
        <v>303</v>
      </c>
      <c r="E9" s="41" t="s">
        <v>304</v>
      </c>
    </row>
    <row r="12" spans="2:5" ht="21.75" customHeight="1" x14ac:dyDescent="0.3">
      <c r="B12" s="99" t="s">
        <v>305</v>
      </c>
      <c r="C12" s="99"/>
      <c r="D12" s="99"/>
      <c r="E12" s="99"/>
    </row>
    <row r="13" spans="2:5" ht="21.75" customHeight="1" x14ac:dyDescent="0.3">
      <c r="B13" s="42" t="s">
        <v>306</v>
      </c>
      <c r="C13" s="42" t="s">
        <v>307</v>
      </c>
      <c r="D13" s="42" t="s">
        <v>308</v>
      </c>
      <c r="E13" s="31"/>
    </row>
    <row r="14" spans="2:5" ht="36" customHeight="1" x14ac:dyDescent="0.3">
      <c r="B14" s="43" t="s">
        <v>309</v>
      </c>
      <c r="C14" s="43" t="s">
        <v>310</v>
      </c>
      <c r="D14" s="43" t="s">
        <v>311</v>
      </c>
      <c r="E14" s="31"/>
    </row>
    <row r="15" spans="2:5" ht="36" customHeight="1" x14ac:dyDescent="0.3">
      <c r="B15" s="44" t="s">
        <v>312</v>
      </c>
      <c r="C15" s="44" t="s">
        <v>313</v>
      </c>
      <c r="D15" s="44" t="s">
        <v>314</v>
      </c>
      <c r="E15" s="31"/>
    </row>
    <row r="16" spans="2:5" ht="36" customHeight="1" x14ac:dyDescent="0.3">
      <c r="B16" s="43" t="s">
        <v>315</v>
      </c>
      <c r="C16" s="43" t="s">
        <v>316</v>
      </c>
      <c r="D16" s="43" t="s">
        <v>317</v>
      </c>
      <c r="E16" s="31"/>
    </row>
    <row r="17" spans="2:5" ht="36" customHeight="1" x14ac:dyDescent="0.3">
      <c r="B17" s="44" t="s">
        <v>318</v>
      </c>
      <c r="C17" s="44" t="s">
        <v>319</v>
      </c>
      <c r="D17" s="44" t="s">
        <v>320</v>
      </c>
      <c r="E17" s="31"/>
    </row>
    <row r="18" spans="2:5" ht="36" customHeight="1" x14ac:dyDescent="0.3">
      <c r="B18" s="43" t="s">
        <v>321</v>
      </c>
      <c r="C18" s="43" t="s">
        <v>322</v>
      </c>
      <c r="D18" s="43" t="s">
        <v>323</v>
      </c>
      <c r="E18" s="31"/>
    </row>
    <row r="19" spans="2:5" ht="36" customHeight="1" x14ac:dyDescent="0.3">
      <c r="B19" s="45" t="s">
        <v>324</v>
      </c>
      <c r="C19" s="45" t="s">
        <v>325</v>
      </c>
      <c r="D19" s="45" t="s">
        <v>326</v>
      </c>
    </row>
    <row r="21" spans="2:5" ht="21.75" customHeight="1" x14ac:dyDescent="0.3">
      <c r="B21" s="100" t="s">
        <v>327</v>
      </c>
      <c r="C21" s="100"/>
      <c r="D21" s="100"/>
      <c r="E21" s="100"/>
    </row>
    <row r="22" spans="2:5" x14ac:dyDescent="0.3">
      <c r="B22" s="2" t="s">
        <v>328</v>
      </c>
      <c r="C22" s="2" t="s">
        <v>329</v>
      </c>
      <c r="D22" s="31"/>
      <c r="E22" s="31"/>
    </row>
    <row r="23" spans="2:5" ht="25.5" customHeight="1" x14ac:dyDescent="0.3">
      <c r="B23" s="46" t="s">
        <v>330</v>
      </c>
      <c r="C23" s="90" t="s">
        <v>331</v>
      </c>
      <c r="D23" s="90"/>
      <c r="E23" s="90"/>
    </row>
    <row r="24" spans="2:5" ht="25.5" customHeight="1" x14ac:dyDescent="0.3">
      <c r="B24" s="47" t="s">
        <v>332</v>
      </c>
      <c r="C24" s="95" t="s">
        <v>333</v>
      </c>
      <c r="D24" s="95"/>
      <c r="E24" s="95"/>
    </row>
    <row r="25" spans="2:5" ht="25.5" customHeight="1" x14ac:dyDescent="0.3">
      <c r="B25" s="46" t="s">
        <v>334</v>
      </c>
      <c r="C25" s="90" t="s">
        <v>335</v>
      </c>
      <c r="D25" s="90"/>
      <c r="E25" s="90"/>
    </row>
    <row r="26" spans="2:5" ht="25.5" customHeight="1" x14ac:dyDescent="0.3">
      <c r="B26" s="47" t="s">
        <v>336</v>
      </c>
      <c r="C26" s="95" t="s">
        <v>337</v>
      </c>
      <c r="D26" s="95"/>
      <c r="E26" s="95"/>
    </row>
    <row r="27" spans="2:5" ht="25.5" customHeight="1" x14ac:dyDescent="0.3">
      <c r="B27" s="46" t="s">
        <v>338</v>
      </c>
      <c r="C27" s="90" t="s">
        <v>339</v>
      </c>
      <c r="D27" s="90"/>
      <c r="E27" s="90"/>
    </row>
    <row r="28" spans="2:5" ht="25.5" customHeight="1" x14ac:dyDescent="0.3">
      <c r="B28" s="47" t="s">
        <v>340</v>
      </c>
      <c r="C28" s="95" t="s">
        <v>341</v>
      </c>
      <c r="D28" s="95"/>
      <c r="E28" s="95"/>
    </row>
  </sheetData>
  <mergeCells count="10">
    <mergeCell ref="B2:E2"/>
    <mergeCell ref="B4:E4"/>
    <mergeCell ref="B12:E12"/>
    <mergeCell ref="B21:E21"/>
    <mergeCell ref="C23:E23"/>
    <mergeCell ref="C24:E24"/>
    <mergeCell ref="C25:E25"/>
    <mergeCell ref="C26:E26"/>
    <mergeCell ref="C27:E27"/>
    <mergeCell ref="C28:E2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F6000"/>
  </sheetPr>
  <dimension ref="B1:E25"/>
  <sheetViews>
    <sheetView showGridLines="0" topLeftCell="A10" zoomScaleNormal="100" workbookViewId="0"/>
  </sheetViews>
  <sheetFormatPr defaultColWidth="8.6640625" defaultRowHeight="14.4" x14ac:dyDescent="0.3"/>
  <cols>
    <col min="1" max="1" width="3" customWidth="1"/>
    <col min="2" max="2" width="20" customWidth="1"/>
    <col min="3" max="3" width="16" customWidth="1"/>
    <col min="4" max="4" width="38" customWidth="1"/>
    <col min="5" max="5" width="10" customWidth="1"/>
    <col min="6" max="6" width="3" customWidth="1"/>
  </cols>
  <sheetData>
    <row r="1" spans="2:5" ht="7.5" customHeight="1" x14ac:dyDescent="0.3"/>
    <row r="2" spans="2:5" ht="36" customHeight="1" x14ac:dyDescent="0.3">
      <c r="B2" s="88" t="s">
        <v>342</v>
      </c>
      <c r="C2" s="88"/>
      <c r="D2" s="88"/>
      <c r="E2" s="88"/>
    </row>
    <row r="3" spans="2:5" ht="30" customHeight="1" x14ac:dyDescent="0.3">
      <c r="B3" s="34" t="s">
        <v>343</v>
      </c>
      <c r="C3" s="34" t="s">
        <v>344</v>
      </c>
      <c r="D3" s="34" t="s">
        <v>345</v>
      </c>
      <c r="E3" s="34" t="s">
        <v>346</v>
      </c>
    </row>
    <row r="4" spans="2:5" ht="43.5" customHeight="1" x14ac:dyDescent="0.3">
      <c r="B4" s="29" t="s">
        <v>347</v>
      </c>
      <c r="C4" s="48" t="s">
        <v>289</v>
      </c>
      <c r="D4" s="1" t="s">
        <v>348</v>
      </c>
      <c r="E4" s="49" t="s">
        <v>349</v>
      </c>
    </row>
    <row r="5" spans="2:5" ht="43.5" customHeight="1" x14ac:dyDescent="0.3">
      <c r="B5" s="30" t="s">
        <v>350</v>
      </c>
      <c r="C5" s="50" t="s">
        <v>240</v>
      </c>
      <c r="D5" s="41" t="s">
        <v>351</v>
      </c>
      <c r="E5" s="51" t="s">
        <v>352</v>
      </c>
    </row>
    <row r="6" spans="2:5" ht="43.5" customHeight="1" x14ac:dyDescent="0.3">
      <c r="B6" s="29" t="s">
        <v>353</v>
      </c>
      <c r="C6" s="48" t="s">
        <v>354</v>
      </c>
      <c r="D6" s="1" t="s">
        <v>355</v>
      </c>
      <c r="E6" s="49" t="s">
        <v>349</v>
      </c>
    </row>
    <row r="7" spans="2:5" ht="43.5" customHeight="1" x14ac:dyDescent="0.3">
      <c r="B7" s="30" t="s">
        <v>356</v>
      </c>
      <c r="C7" s="50" t="s">
        <v>357</v>
      </c>
      <c r="D7" s="41" t="s">
        <v>358</v>
      </c>
      <c r="E7" s="51" t="s">
        <v>359</v>
      </c>
    </row>
    <row r="8" spans="2:5" ht="43.5" customHeight="1" x14ac:dyDescent="0.3">
      <c r="B8" s="29" t="s">
        <v>360</v>
      </c>
      <c r="C8" s="48" t="s">
        <v>242</v>
      </c>
      <c r="D8" s="1" t="s">
        <v>361</v>
      </c>
      <c r="E8" s="49" t="s">
        <v>362</v>
      </c>
    </row>
    <row r="9" spans="2:5" ht="43.5" customHeight="1" x14ac:dyDescent="0.3">
      <c r="B9" s="52" t="s">
        <v>363</v>
      </c>
      <c r="C9" s="53" t="s">
        <v>364</v>
      </c>
      <c r="D9" s="54" t="s">
        <v>365</v>
      </c>
      <c r="E9" s="55" t="s">
        <v>366</v>
      </c>
    </row>
    <row r="10" spans="2:5" ht="25.5" customHeight="1" x14ac:dyDescent="0.3">
      <c r="B10" s="103" t="s">
        <v>367</v>
      </c>
      <c r="C10" s="103"/>
      <c r="D10" s="103"/>
      <c r="E10" s="56" t="s">
        <v>368</v>
      </c>
    </row>
    <row r="12" spans="2:5" x14ac:dyDescent="0.3">
      <c r="B12" s="98" t="s">
        <v>369</v>
      </c>
      <c r="C12" s="98"/>
      <c r="D12" s="98"/>
      <c r="E12" s="98"/>
    </row>
    <row r="13" spans="2:5" ht="21.75" customHeight="1" x14ac:dyDescent="0.3">
      <c r="B13" s="57" t="s">
        <v>370</v>
      </c>
      <c r="C13" s="57" t="s">
        <v>371</v>
      </c>
      <c r="D13" s="58" t="s">
        <v>372</v>
      </c>
      <c r="E13" s="59"/>
    </row>
    <row r="14" spans="2:5" ht="21.75" customHeight="1" x14ac:dyDescent="0.3">
      <c r="B14" s="60" t="s">
        <v>373</v>
      </c>
      <c r="C14" s="60" t="s">
        <v>374</v>
      </c>
      <c r="D14" s="61" t="s">
        <v>375</v>
      </c>
      <c r="E14" s="62"/>
    </row>
    <row r="15" spans="2:5" ht="21.75" customHeight="1" x14ac:dyDescent="0.3">
      <c r="B15" s="63" t="s">
        <v>376</v>
      </c>
      <c r="C15" s="63" t="s">
        <v>377</v>
      </c>
      <c r="D15" s="64" t="s">
        <v>378</v>
      </c>
      <c r="E15" s="65"/>
    </row>
    <row r="16" spans="2:5" ht="21.75" customHeight="1" x14ac:dyDescent="0.3">
      <c r="B16" s="66" t="s">
        <v>379</v>
      </c>
      <c r="C16" s="66" t="s">
        <v>380</v>
      </c>
      <c r="D16" s="67" t="s">
        <v>381</v>
      </c>
      <c r="E16" s="68"/>
    </row>
    <row r="18" spans="2:5" ht="24" customHeight="1" x14ac:dyDescent="0.3">
      <c r="B18" s="104" t="s">
        <v>382</v>
      </c>
      <c r="C18" s="104"/>
      <c r="D18" s="104"/>
      <c r="E18" s="104"/>
    </row>
    <row r="19" spans="2:5" ht="27.75" customHeight="1" x14ac:dyDescent="0.3">
      <c r="B19" s="95" t="s">
        <v>383</v>
      </c>
      <c r="C19" s="95"/>
      <c r="D19" s="95"/>
      <c r="E19" s="95"/>
    </row>
    <row r="20" spans="2:5" ht="27.75" customHeight="1" x14ac:dyDescent="0.3">
      <c r="B20" s="102" t="s">
        <v>384</v>
      </c>
      <c r="C20" s="102"/>
      <c r="D20" s="102"/>
      <c r="E20" s="102"/>
    </row>
    <row r="21" spans="2:5" ht="27.75" customHeight="1" x14ac:dyDescent="0.3">
      <c r="B21" s="95" t="s">
        <v>385</v>
      </c>
      <c r="C21" s="95"/>
      <c r="D21" s="95"/>
      <c r="E21" s="95"/>
    </row>
    <row r="22" spans="2:5" ht="27.75" customHeight="1" x14ac:dyDescent="0.3">
      <c r="B22" s="102" t="s">
        <v>386</v>
      </c>
      <c r="C22" s="102"/>
      <c r="D22" s="102"/>
      <c r="E22" s="102"/>
    </row>
    <row r="23" spans="2:5" ht="27.75" customHeight="1" x14ac:dyDescent="0.3">
      <c r="B23" s="95" t="s">
        <v>387</v>
      </c>
      <c r="C23" s="95"/>
      <c r="D23" s="95"/>
      <c r="E23" s="95"/>
    </row>
    <row r="24" spans="2:5" ht="27.75" customHeight="1" x14ac:dyDescent="0.3">
      <c r="B24" s="102" t="s">
        <v>388</v>
      </c>
      <c r="C24" s="102"/>
      <c r="D24" s="102"/>
      <c r="E24" s="102"/>
    </row>
    <row r="25" spans="2:5" ht="27.75" customHeight="1" x14ac:dyDescent="0.3">
      <c r="B25" s="101" t="s">
        <v>389</v>
      </c>
      <c r="C25" s="101"/>
      <c r="D25" s="101"/>
      <c r="E25" s="101"/>
    </row>
  </sheetData>
  <mergeCells count="11">
    <mergeCell ref="B2:E2"/>
    <mergeCell ref="B10:D10"/>
    <mergeCell ref="B12:E12"/>
    <mergeCell ref="B18:E18"/>
    <mergeCell ref="B19:E19"/>
    <mergeCell ref="B25:E25"/>
    <mergeCell ref="B20:E20"/>
    <mergeCell ref="B21:E21"/>
    <mergeCell ref="B22:E22"/>
    <mergeCell ref="B23:E23"/>
    <mergeCell ref="B24:E2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Raw Data (Pivot Source)</vt:lpstr>
      <vt:lpstr>Pivot Table Workshop</vt:lpstr>
      <vt:lpstr>Practice Area (Your Work)</vt:lpstr>
      <vt:lpstr>Concept Notes</vt:lpstr>
      <vt:lpstr>Scoring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Deepanshu Garg</cp:lastModifiedBy>
  <cp:revision>0</cp:revision>
  <dcterms:created xsi:type="dcterms:W3CDTF">2026-04-02T12:43:43Z</dcterms:created>
  <dcterms:modified xsi:type="dcterms:W3CDTF">2026-04-02T14:16:35Z</dcterms:modified>
  <dc:language>en-US</dc:language>
</cp:coreProperties>
</file>