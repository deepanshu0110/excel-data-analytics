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30c6ebe1e7ac33e/Desktop/Excel/"/>
    </mc:Choice>
  </mc:AlternateContent>
  <xr:revisionPtr revIDLastSave="2" documentId="13_ncr:1_{FC43838E-01DE-4606-AB4E-47368235E25E}" xr6:coauthVersionLast="47" xr6:coauthVersionMax="47" xr10:uidLastSave="{97EC132F-C2DE-48E0-85E4-AC38E64D74DE}"/>
  <bookViews>
    <workbookView xWindow="-108" yWindow="-108" windowWidth="23256" windowHeight="12456" tabRatio="500" firstSheet="1" activeTab="3" xr2:uid="{00000000-000D-0000-FFFF-FFFF00000000}"/>
  </bookViews>
  <sheets>
    <sheet name="Raw Orders (Messy)" sheetId="1" r:id="rId1"/>
    <sheet name="Correct Sheet" sheetId="5" r:id="rId2"/>
    <sheet name="Product Catalogue" sheetId="2" r:id="rId3"/>
    <sheet name="Analysis (Your Work)" sheetId="3" r:id="rId4"/>
    <sheet name="Scoring Guide" sheetId="4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6" i="3" l="1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5" i="3"/>
  <c r="K6" i="3"/>
  <c r="K7" i="3"/>
  <c r="L7" i="3" s="1"/>
  <c r="K8" i="3"/>
  <c r="L8" i="3" s="1"/>
  <c r="K9" i="3"/>
  <c r="L9" i="3" s="1"/>
  <c r="K10" i="3"/>
  <c r="L10" i="3" s="1"/>
  <c r="K11" i="3"/>
  <c r="L11" i="3" s="1"/>
  <c r="K12" i="3"/>
  <c r="L12" i="3" s="1"/>
  <c r="K13" i="3"/>
  <c r="L13" i="3" s="1"/>
  <c r="K14" i="3"/>
  <c r="L14" i="3" s="1"/>
  <c r="K15" i="3"/>
  <c r="L15" i="3" s="1"/>
  <c r="K16" i="3"/>
  <c r="L16" i="3" s="1"/>
  <c r="K17" i="3"/>
  <c r="L17" i="3" s="1"/>
  <c r="K18" i="3"/>
  <c r="L18" i="3" s="1"/>
  <c r="K19" i="3"/>
  <c r="L19" i="3" s="1"/>
  <c r="K20" i="3"/>
  <c r="K21" i="3"/>
  <c r="K22" i="3"/>
  <c r="K23" i="3"/>
  <c r="K24" i="3"/>
  <c r="K5" i="3"/>
  <c r="L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5" i="3"/>
  <c r="I30" i="3"/>
  <c r="L6" i="3" l="1"/>
  <c r="I29" i="3"/>
  <c r="L20" i="3"/>
  <c r="L21" i="3"/>
  <c r="L22" i="3"/>
  <c r="L23" i="3"/>
  <c r="L24" i="3"/>
  <c r="I33" i="3"/>
  <c r="I32" i="3"/>
  <c r="I31" i="3"/>
  <c r="I28" i="3"/>
</calcChain>
</file>

<file path=xl/sharedStrings.xml><?xml version="1.0" encoding="utf-8"?>
<sst xmlns="http://schemas.openxmlformats.org/spreadsheetml/2006/main" count="427" uniqueCount="207">
  <si>
    <t>DAY 12 — WEEK 3 MINI-PROJECT  |  Raw Order Data (Messy — Do Not Edit)</t>
  </si>
  <si>
    <t>Problems: Missing order IDs · Mixed date formats · One price entered as text · Missing discounts · Blank region entries</t>
  </si>
  <si>
    <t>Order ID</t>
  </si>
  <si>
    <t>Order Date</t>
  </si>
  <si>
    <t>Customer Name</t>
  </si>
  <si>
    <t>Product Code</t>
  </si>
  <si>
    <t>Qty</t>
  </si>
  <si>
    <t>Unit Price (₹)</t>
  </si>
  <si>
    <t>Discount %</t>
  </si>
  <si>
    <t>Region</t>
  </si>
  <si>
    <t>ORD-001</t>
  </si>
  <si>
    <t>2025-01-03</t>
  </si>
  <si>
    <t>Ravi Sharma</t>
  </si>
  <si>
    <t>EL-101</t>
  </si>
  <si>
    <t>North</t>
  </si>
  <si>
    <t>2025-01-05</t>
  </si>
  <si>
    <t>Meena Pillai</t>
  </si>
  <si>
    <t>AP-204</t>
  </si>
  <si>
    <t>South</t>
  </si>
  <si>
    <t>ORD-003</t>
  </si>
  <si>
    <t>2025-01-08</t>
  </si>
  <si>
    <t>Karan Singh</t>
  </si>
  <si>
    <t>FW-312</t>
  </si>
  <si>
    <t>West</t>
  </si>
  <si>
    <t>ORD-004</t>
  </si>
  <si>
    <t>2025-01-10</t>
  </si>
  <si>
    <t>Divya Shah</t>
  </si>
  <si>
    <t>EL-205</t>
  </si>
  <si>
    <t>ORD-005</t>
  </si>
  <si>
    <t>15-Jan-2025</t>
  </si>
  <si>
    <t>Saurabh Tiwari</t>
  </si>
  <si>
    <t>FT-101</t>
  </si>
  <si>
    <t>East</t>
  </si>
  <si>
    <t>ORD-006</t>
  </si>
  <si>
    <t>2025-01-14</t>
  </si>
  <si>
    <t>Pooja Mishra</t>
  </si>
  <si>
    <t>ORD-007</t>
  </si>
  <si>
    <t>2025-01-17</t>
  </si>
  <si>
    <t>Amit Bhatt</t>
  </si>
  <si>
    <t>NT-401</t>
  </si>
  <si>
    <t>ORD-008</t>
  </si>
  <si>
    <t>2025-01-20</t>
  </si>
  <si>
    <t>Anita Joshi</t>
  </si>
  <si>
    <t>ORD-009</t>
  </si>
  <si>
    <t>2025-01-22</t>
  </si>
  <si>
    <t>Rohan Verma</t>
  </si>
  <si>
    <t>ORD-010</t>
  </si>
  <si>
    <t>2025-01-25</t>
  </si>
  <si>
    <t>Priya Nair</t>
  </si>
  <si>
    <t>ORD-011</t>
  </si>
  <si>
    <t>2025-01-28</t>
  </si>
  <si>
    <t>Vikram Das</t>
  </si>
  <si>
    <t>ORD-012</t>
  </si>
  <si>
    <t>2025-02-01</t>
  </si>
  <si>
    <t>Sneha Iyer</t>
  </si>
  <si>
    <t>MISSING</t>
  </si>
  <si>
    <t>ORD-013</t>
  </si>
  <si>
    <t>2025-02-04</t>
  </si>
  <si>
    <t>Deepak Rao</t>
  </si>
  <si>
    <t>ORD-014</t>
  </si>
  <si>
    <t>2025-02-07</t>
  </si>
  <si>
    <t>Nisha Kapoor</t>
  </si>
  <si>
    <t>ORD-015</t>
  </si>
  <si>
    <t>2025-02-10</t>
  </si>
  <si>
    <t>ORD-016</t>
  </si>
  <si>
    <t>2025-02-13</t>
  </si>
  <si>
    <t>ORD-017</t>
  </si>
  <si>
    <t>04/02/2025</t>
  </si>
  <si>
    <t>ORD-018</t>
  </si>
  <si>
    <t>2025-02-18</t>
  </si>
  <si>
    <t>ORD-019</t>
  </si>
  <si>
    <t>2025-02-21</t>
  </si>
  <si>
    <t>ORD-020</t>
  </si>
  <si>
    <t>2025-02-25</t>
  </si>
  <si>
    <t>ISSUES FOUND IN THIS RAW DATA — Your job is to handle them in the Analysis sheet</t>
  </si>
  <si>
    <t>Row 6</t>
  </si>
  <si>
    <t>Missing Order ID</t>
  </si>
  <si>
    <t>Assign ORD-002 manually</t>
  </si>
  <si>
    <t>Row 9</t>
  </si>
  <si>
    <t>Order Date as text '15-Jan-2025'</t>
  </si>
  <si>
    <t>Treat as 15 Jan 2025 in your analysis</t>
  </si>
  <si>
    <t>Row 11</t>
  </si>
  <si>
    <t>Unit Price entered as text '2800'</t>
  </si>
  <si>
    <t>Fix: convert to number — otherwise causes VALUE error in formulas</t>
  </si>
  <si>
    <t>Row 14</t>
  </si>
  <si>
    <t>Discount % is blank/MISSING</t>
  </si>
  <si>
    <t>Assume 0% discount for this order</t>
  </si>
  <si>
    <t>Row 17</t>
  </si>
  <si>
    <t>Missing Region</t>
  </si>
  <si>
    <t>Flag as 'Unknown' in clean data</t>
  </si>
  <si>
    <t>Row 19</t>
  </si>
  <si>
    <t>Date format dd/mm/yyyy vs yyyy-mm-dd</t>
  </si>
  <si>
    <t>Standardise to yyyy-mm-dd</t>
  </si>
  <si>
    <t>Row 20</t>
  </si>
  <si>
    <t>Missing Customer Name</t>
  </si>
  <si>
    <t>Flag as 'Unknown Customer'</t>
  </si>
  <si>
    <t>PRODUCT CATALOGUE  |  XLOOKUP Source Table</t>
  </si>
  <si>
    <t>Use this sheet as your XLOOKUP source. Lookup key = Product Code (column B)</t>
  </si>
  <si>
    <t>Product Name</t>
  </si>
  <si>
    <t>Category</t>
  </si>
  <si>
    <t>Cost Price (₹)</t>
  </si>
  <si>
    <t>Target Margin %</t>
  </si>
  <si>
    <t>Min Order Qty</t>
  </si>
  <si>
    <t>Smart TV 55"</t>
  </si>
  <si>
    <t>Electronics</t>
  </si>
  <si>
    <t>Laptop Pro 14</t>
  </si>
  <si>
    <t>Air Fryer XL</t>
  </si>
  <si>
    <t>Appliances</t>
  </si>
  <si>
    <t>Running Shoes M</t>
  </si>
  <si>
    <t>Footwear</t>
  </si>
  <si>
    <t>Yoga Mat Premium</t>
  </si>
  <si>
    <t>Fitness</t>
  </si>
  <si>
    <t>Protein Powder 2kg</t>
  </si>
  <si>
    <t>Nutrition</t>
  </si>
  <si>
    <t>XLOOKUP SYNTAX REMINDER</t>
  </si>
  <si>
    <t>Basic XLOOKUP</t>
  </si>
  <si>
    <t>XLOOKUP(lookup_value, lookup_array, return_array, [if_not_found])</t>
  </si>
  <si>
    <t>Returns a single value from return_array</t>
  </si>
  <si>
    <t>In your Analysis sheet</t>
  </si>
  <si>
    <t>XLOOKUP(D5,'Product Catalogue'!$B$5:$B$10,'Product Catalogue'!$C$5:$C$10,"Unknown")</t>
  </si>
  <si>
    <t>D5 = Product Code in Analysis sheet</t>
  </si>
  <si>
    <t>For Cost Price</t>
  </si>
  <si>
    <t>XLOOKUP(D5,'Product Catalogue'!$B$5:$B$10,'Product Catalogue'!$F$5:$F$10,0)</t>
  </si>
  <si>
    <t>Change return array to column F (Cost Price)</t>
  </si>
  <si>
    <t>DAY 12 — ANALYSIS SHEET  |  Week 3 Mini-Project  |  Build All Formulas Here</t>
  </si>
  <si>
    <t>Use XLOOKUP · IFS · Nested IF · Conditional Formatting — No hand-holding. You decide the approach.</t>
  </si>
  <si>
    <t>Disc %</t>
  </si>
  <si>
    <t>Revenue (₹)</t>
  </si>
  <si>
    <t>Profit (₹)</t>
  </si>
  <si>
    <t>Margin Tag</t>
  </si>
  <si>
    <t>Order Action</t>
  </si>
  <si>
    <t>ORD-002</t>
  </si>
  <si>
    <t>Unknown Customer</t>
  </si>
  <si>
    <t>SUMMARY SECTION — Build these after completing the order table above</t>
  </si>
  <si>
    <t>Total Revenue (all orders)</t>
  </si>
  <si>
    <t>Total Profit (all orders)</t>
  </si>
  <si>
    <t>Average Discount Given</t>
  </si>
  <si>
    <t>Highest Single Order Revenue</t>
  </si>
  <si>
    <t>Orders Flagged High Margin</t>
  </si>
  <si>
    <t>Orders Flagged Low Margin</t>
  </si>
  <si>
    <t>CLIENT SUMMARY — Write 3-5 sentences here after completing your analysis</t>
  </si>
  <si>
    <t>DAY 12 — WEEK 3 MINI-PROJECT SCORING GUIDE  |  Total: 60 Points</t>
  </si>
  <si>
    <t>Task</t>
  </si>
  <si>
    <t>Skill Tested</t>
  </si>
  <si>
    <t>Success Criteria</t>
  </si>
  <si>
    <t>Points</t>
  </si>
  <si>
    <t>Data Cleaning</t>
  </si>
  <si>
    <t>Analyst Thinking</t>
  </si>
  <si>
    <t>Fixed Order ID, text price, missing discount (→ 0%), unknown customer, date formats. Clean data in Analysis sheet.</t>
  </si>
  <si>
    <t>8</t>
  </si>
  <si>
    <t>XLOOKUP — Product Name</t>
  </si>
  <si>
    <t>XLOOKUP</t>
  </si>
  <si>
    <t>XLOOKUP(D5,'Product Catalogue'!$B$5:$B$10,'Product Catalogue'!$C$5:$C$10,"Unknown") in col f — all 20 rows correct.</t>
  </si>
  <si>
    <t>10</t>
  </si>
  <si>
    <t>XLOOKUP — Unit &amp; Cost Price</t>
  </si>
  <si>
    <t>Columns G and H correctly pull Unit Price and Cost Price from Catalogue for all 20 orders.</t>
  </si>
  <si>
    <t>Revenue Formula</t>
  </si>
  <si>
    <t>Formula Logic</t>
  </si>
  <si>
    <t xml:space="preserve"> =E5*G5*(1-I5) — Qty × Unit Price × (1 - Discount). All 20 rows correct. No hardcoded values.</t>
  </si>
  <si>
    <t>Profit Formula</t>
  </si>
  <si>
    <t xml:space="preserve"> =J5-E5*H5 — Revenue minus total cost (Qty × Cost Price). Logical, clean formula.</t>
  </si>
  <si>
    <t>6</t>
  </si>
  <si>
    <t>IFS — Margin Tag</t>
  </si>
  <si>
    <t>IFS</t>
  </si>
  <si>
    <t>IFS(K5/J5&gt;=0.4,"High Margin",K5/J5&gt;=0.25,"Mid Margin",TRUE(),"Low Margin") — tags all 20 rows correctly.</t>
  </si>
  <si>
    <t>Nested IF — Order Action</t>
  </si>
  <si>
    <t>Nested IF</t>
  </si>
  <si>
    <t>IF(E5&gt;=8,"Bulk — offer loyalty discount",IF(K5/J5&gt;=0.4,"Premium — upsell","Standard")) — logical, 3-tier.</t>
  </si>
  <si>
    <t>Conditional Formatting</t>
  </si>
  <si>
    <t>CF</t>
  </si>
  <si>
    <t>At least 2 CF rules applied: e.g. green row for High Margin, red for Low Margin OR colour scale on Revenue column.</t>
  </si>
  <si>
    <t>4</t>
  </si>
  <si>
    <t>Client Summary</t>
  </si>
  <si>
    <t>Communication</t>
  </si>
  <si>
    <t>5 questions answered in the summary box. Uses numbers, product names, business language. Not just 'product X is best'.</t>
  </si>
  <si>
    <t>BONUS: Summary COUNTIF formulas work correctly</t>
  </si>
  <si>
    <t>Formula</t>
  </si>
  <si>
    <t>COUNTIF counts for High/Low Margin are accurate.</t>
  </si>
  <si>
    <t>+2 Bonus</t>
  </si>
  <si>
    <t>TOTAL (excl. bonus)</t>
  </si>
  <si>
    <t>60</t>
  </si>
  <si>
    <t>GRADING BANDS</t>
  </si>
  <si>
    <t>54–60 + bonus</t>
  </si>
  <si>
    <t>Distinction</t>
  </si>
  <si>
    <t>Week 3 complete. Ready for Week 4 (Charts &amp; Dashboards).</t>
  </si>
  <si>
    <t>45–53</t>
  </si>
  <si>
    <t>Pass</t>
  </si>
  <si>
    <t>Good work. Review IFS / CF rules before Week 4.</t>
  </si>
  <si>
    <t>33–44</t>
  </si>
  <si>
    <t>Needs Work</t>
  </si>
  <si>
    <t>Redo XLOOKUP and formula tasks. Resubmit before Week 4.</t>
  </si>
  <si>
    <t>0–32</t>
  </si>
  <si>
    <t>Re-attempt</t>
  </si>
  <si>
    <t>Re-read Days 9–11 concept notes and redo all tasks.</t>
  </si>
  <si>
    <t>WEEK 3 KEY TAKEAWAYS</t>
  </si>
  <si>
    <t>1. XLOOKUP is VLOOKUP's replacement — it works left-to-right AND right-to-left, handles missing values cleanly.</t>
  </si>
  <si>
    <t>2. IFS replaces deeply nested IF — when you have 3+ conditions, IFS is cleaner and easier to audit.</t>
  </si>
  <si>
    <t>3. Nested IF is still essential for 2-tier logic (binary decisions) — don't overcomplicate with IFS for simple cases.</t>
  </si>
  <si>
    <t>4. Conditional Formatting turns a table into a visual decision tool — formula-based rules are the most powerful.</t>
  </si>
  <si>
    <t>5. Data cleaning is not optional — a wrong text price cell breaks every revenue formula downstream.</t>
  </si>
  <si>
    <t>INTERVIEW: 'Walk me through how you'd build a sales dashboard from scratch in Excel.' → This project is your answer.</t>
  </si>
  <si>
    <t>Unknown</t>
  </si>
  <si>
    <t>Laptop Pro 14 is your highest revenue product with Rs 319920 i.e 36.8% of your total revenue</t>
  </si>
  <si>
    <t>Divya Shah is your highest value customer</t>
  </si>
  <si>
    <t>9 products are of high margin because most of them has 0-5% discount</t>
  </si>
  <si>
    <t>Based on performance data increase the stock of Laptop Pro 14 as it contribute 36.8% of total revenue.Additionaly prioritize the 9 high margin products and reduce the stock of low margin or those have heave discount to sell these items.</t>
  </si>
  <si>
    <t>Row 11 had Unit Price entered as text '2800' — this would have caused a #VALUE! error in the Revenue formula. I converted it to a number in the clean data, which allowed all 20 revenue calculations to work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</si>
</sst>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0.0%"/>
    <numFmt numFmtId="166" formatCode="[$-14009]yyyy/mm/dd;@"/>
  </numFmts>
  <fonts count="3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C00000"/>
      <name val="Arial"/>
      <charset val="1"/>
    </font>
    <font>
      <sz val="10"/>
      <color rgb="FFC00000"/>
      <name val="Arial"/>
      <charset val="1"/>
    </font>
    <font>
      <b/>
      <sz val="9"/>
      <color rgb="FF843C0C"/>
      <name val="Arial"/>
      <charset val="1"/>
    </font>
    <font>
      <sz val="9"/>
      <color rgb="FFC00000"/>
      <name val="Arial"/>
      <charset val="1"/>
    </font>
    <font>
      <i/>
      <sz val="9"/>
      <color rgb="FF1A5C2A"/>
      <name val="Arial"/>
      <charset val="1"/>
    </font>
    <font>
      <b/>
      <sz val="10"/>
      <color rgb="FF1F3864"/>
      <name val="Arial"/>
      <charset val="1"/>
    </font>
    <font>
      <b/>
      <sz val="9"/>
      <color rgb="FF0D5E5E"/>
      <name val="Arial"/>
      <charset val="1"/>
    </font>
    <font>
      <i/>
      <sz val="9"/>
      <color rgb="FF1F3864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  <font>
      <b/>
      <sz val="10"/>
      <color rgb="FF000000"/>
      <name val="Arial"/>
      <charset val="1"/>
    </font>
    <font>
      <i/>
      <sz val="10"/>
      <color rgb="FFAAAAAA"/>
      <name val="Arial"/>
      <charset val="1"/>
    </font>
    <font>
      <i/>
      <sz val="10"/>
      <color rgb="FF843C0C"/>
      <name val="Arial"/>
      <charset val="1"/>
    </font>
    <font>
      <i/>
      <sz val="10"/>
      <color rgb="FF555555"/>
      <name val="Arial"/>
      <charset val="1"/>
    </font>
    <font>
      <b/>
      <sz val="10"/>
      <color rgb="FF2E5EAA"/>
      <name val="Arial"/>
      <charset val="1"/>
    </font>
    <font>
      <b/>
      <sz val="11"/>
      <color rgb="FF1A5C2A"/>
      <name val="Arial"/>
      <charset val="1"/>
    </font>
    <font>
      <b/>
      <sz val="10"/>
      <color rgb="FF7F6000"/>
      <name val="Arial"/>
      <charset val="1"/>
    </font>
    <font>
      <sz val="9"/>
      <color rgb="FF7F6000"/>
      <name val="Arial"/>
      <charset val="1"/>
    </font>
    <font>
      <b/>
      <sz val="11"/>
      <color rgb="FF7F6000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b/>
      <sz val="10"/>
      <color rgb="FF1A5C2A"/>
      <name val="Arial"/>
      <charset val="1"/>
    </font>
    <font>
      <sz val="10"/>
      <color rgb="FF1A5C2A"/>
      <name val="Arial"/>
      <charset val="1"/>
    </font>
    <font>
      <sz val="10"/>
      <color rgb="FF2E5EAA"/>
      <name val="Arial"/>
      <charset val="1"/>
    </font>
    <font>
      <b/>
      <sz val="10"/>
      <color rgb="FF843C0C"/>
      <name val="Arial"/>
      <charset val="1"/>
    </font>
    <font>
      <sz val="10"/>
      <color rgb="FF843C0C"/>
      <name val="Arial"/>
      <charset val="1"/>
    </font>
    <font>
      <b/>
      <i/>
      <sz val="9"/>
      <color rgb="FF7F6000"/>
      <name val="Arial"/>
      <charset val="1"/>
    </font>
    <font>
      <sz val="10"/>
      <color rgb="FF000000"/>
      <name val="Arial"/>
      <family val="2"/>
    </font>
    <font>
      <sz val="10"/>
      <color rgb="FFC00000"/>
      <name val="Arial"/>
      <family val="2"/>
    </font>
    <font>
      <i/>
      <sz val="10"/>
      <name val="Arial"/>
      <family val="2"/>
    </font>
    <font>
      <i/>
      <sz val="10"/>
      <color rgb="FF555555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9B1C1C"/>
        <bgColor rgb="FF800000"/>
      </patternFill>
    </fill>
    <fill>
      <patternFill patternType="solid">
        <fgColor rgb="FF843C0C"/>
        <bgColor rgb="FF7F6000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E0E0"/>
      </patternFill>
    </fill>
    <fill>
      <patternFill patternType="solid">
        <fgColor rgb="FFF2F2F2"/>
        <bgColor rgb="FFEBF5FB"/>
      </patternFill>
    </fill>
    <fill>
      <patternFill patternType="solid">
        <fgColor rgb="FFFFF0E5"/>
        <bgColor rgb="FFFFF2CC"/>
      </patternFill>
    </fill>
    <fill>
      <patternFill patternType="solid">
        <fgColor rgb="FF1F3864"/>
        <bgColor rgb="FF333399"/>
      </patternFill>
    </fill>
    <fill>
      <patternFill patternType="solid">
        <fgColor rgb="FF2E5EAA"/>
        <bgColor rgb="FF3366FF"/>
      </patternFill>
    </fill>
    <fill>
      <patternFill patternType="solid">
        <fgColor rgb="FFD9E8F5"/>
        <bgColor rgb="FFD9F0F0"/>
      </patternFill>
    </fill>
    <fill>
      <patternFill patternType="solid">
        <fgColor rgb="FF0D5E5E"/>
        <bgColor rgb="FF1A5C2A"/>
      </patternFill>
    </fill>
    <fill>
      <patternFill patternType="solid">
        <fgColor rgb="FFD9F0F0"/>
        <bgColor rgb="FFD9E8F5"/>
      </patternFill>
    </fill>
    <fill>
      <patternFill patternType="solid">
        <fgColor rgb="FF375623"/>
        <bgColor rgb="FF1A5C2A"/>
      </patternFill>
    </fill>
    <fill>
      <patternFill patternType="solid">
        <fgColor rgb="FF7F6000"/>
        <bgColor rgb="FF843C0C"/>
      </patternFill>
    </fill>
    <fill>
      <patternFill patternType="solid">
        <fgColor rgb="FFEBF5FB"/>
        <bgColor rgb="FFF2F2F2"/>
      </patternFill>
    </fill>
    <fill>
      <patternFill patternType="solid">
        <fgColor rgb="FFFFF2CC"/>
        <bgColor rgb="FFFFF0E5"/>
      </patternFill>
    </fill>
    <fill>
      <patternFill patternType="solid">
        <fgColor rgb="FF1A5C2A"/>
        <bgColor rgb="FF375623"/>
      </patternFill>
    </fill>
    <fill>
      <patternFill patternType="solid">
        <fgColor rgb="FFE8F8EC"/>
        <bgColor rgb="FFEBF5FB"/>
      </patternFill>
    </fill>
    <fill>
      <patternFill patternType="solid">
        <fgColor rgb="FFE2EFDA"/>
        <bgColor rgb="FFD9F0F0"/>
      </patternFill>
    </fill>
    <fill>
      <patternFill patternType="solid">
        <fgColor rgb="FFFFE0E0"/>
        <bgColor rgb="FFFCE4D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5" fillId="6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9" fontId="4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9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horizontal="right" vertical="center"/>
    </xf>
    <xf numFmtId="9" fontId="4" fillId="6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10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3" fontId="4" fillId="10" borderId="1" xfId="0" applyNumberFormat="1" applyFont="1" applyFill="1" applyBorder="1" applyAlignment="1">
      <alignment horizontal="right" vertical="center"/>
    </xf>
    <xf numFmtId="9" fontId="4" fillId="10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left" vertical="center"/>
    </xf>
    <xf numFmtId="0" fontId="19" fillId="16" borderId="1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left" vertical="center" wrapText="1"/>
    </xf>
    <xf numFmtId="0" fontId="23" fillId="16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26" fillId="19" borderId="1" xfId="0" applyFont="1" applyFill="1" applyBorder="1" applyAlignment="1">
      <alignment horizontal="center" vertical="center"/>
    </xf>
    <xf numFmtId="0" fontId="27" fillId="19" borderId="1" xfId="0" applyFont="1" applyFill="1" applyBorder="1" applyAlignment="1">
      <alignment horizontal="left" vertical="center"/>
    </xf>
    <xf numFmtId="0" fontId="0" fillId="19" borderId="1" xfId="0" applyFill="1" applyBorder="1"/>
    <xf numFmtId="0" fontId="19" fillId="10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29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left" vertical="center"/>
    </xf>
    <xf numFmtId="0" fontId="0" fillId="20" borderId="1" xfId="0" applyFill="1" applyBorder="1"/>
    <xf numFmtId="166" fontId="4" fillId="4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9" fontId="6" fillId="5" borderId="1" xfId="0" applyNumberFormat="1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left" vertical="center"/>
    </xf>
    <xf numFmtId="0" fontId="33" fillId="5" borderId="1" xfId="0" applyFont="1" applyFill="1" applyBorder="1" applyAlignment="1">
      <alignment horizontal="center" vertical="center"/>
    </xf>
    <xf numFmtId="0" fontId="34" fillId="16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left" vertical="center"/>
    </xf>
    <xf numFmtId="164" fontId="10" fillId="10" borderId="1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left" vertical="center"/>
    </xf>
    <xf numFmtId="165" fontId="10" fillId="10" borderId="1" xfId="0" applyNumberFormat="1" applyFont="1" applyFill="1" applyBorder="1" applyAlignment="1">
      <alignment horizontal="right" vertical="center"/>
    </xf>
    <xf numFmtId="3" fontId="10" fillId="10" borderId="1" xfId="0" applyNumberFormat="1" applyFont="1" applyFill="1" applyBorder="1" applyAlignment="1">
      <alignment horizontal="right" vertical="center"/>
    </xf>
    <xf numFmtId="0" fontId="3" fillId="17" borderId="1" xfId="0" applyFont="1" applyFill="1" applyBorder="1" applyAlignment="1">
      <alignment horizontal="center" vertical="center"/>
    </xf>
    <xf numFmtId="0" fontId="35" fillId="18" borderId="1" xfId="0" applyFont="1" applyFill="1" applyBorder="1" applyAlignment="1">
      <alignment horizontal="left" vertical="center" wrapText="1"/>
    </xf>
    <xf numFmtId="0" fontId="18" fillId="18" borderId="1" xfId="0" applyFont="1" applyFill="1" applyBorder="1" applyAlignment="1">
      <alignment horizontal="left" vertical="center" wrapText="1"/>
    </xf>
    <xf numFmtId="0" fontId="35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right" vertical="center"/>
    </xf>
    <xf numFmtId="0" fontId="24" fillId="8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wrapText="1"/>
    </xf>
    <xf numFmtId="0" fontId="31" fillId="1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B1C1C"/>
      <rgbColor rgb="FF1A5C2A"/>
      <rgbColor rgb="FF000080"/>
      <rgbColor rgb="FF7F6000"/>
      <rgbColor rgb="FF800080"/>
      <rgbColor rgb="FF0D5E5E"/>
      <rgbColor rgb="FFBBBBBB"/>
      <rgbColor rgb="FF808080"/>
      <rgbColor rgb="FF9999FF"/>
      <rgbColor rgb="FF993366"/>
      <rgbColor rgb="FFFFF2CC"/>
      <rgbColor rgb="FFD9F0F0"/>
      <rgbColor rgb="FF660066"/>
      <rgbColor rgb="FFFF8080"/>
      <rgbColor rgb="FF2E5EAA"/>
      <rgbColor rgb="FFD9E8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8EC"/>
      <rgbColor rgb="FFE2EFDA"/>
      <rgbColor rgb="FFFFF0E5"/>
      <rgbColor rgb="FFEBF5FB"/>
      <rgbColor rgb="FFFFE0E0"/>
      <rgbColor rgb="FFF2F2F2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F3864"/>
      <rgbColor rgb="FF339966"/>
      <rgbColor rgb="FF003300"/>
      <rgbColor rgb="FF333300"/>
      <rgbColor rgb="FF843C0C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2F1DEC-257C-4A1B-9AD0-A42CD7C8045A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B1C1C"/>
  </sheetPr>
  <dimension ref="B1:I33"/>
  <sheetViews>
    <sheetView topLeftCell="A10" zoomScaleNormal="100" workbookViewId="0">
      <selection activeCell="B5" sqref="B5:I24"/>
    </sheetView>
  </sheetViews>
  <sheetFormatPr defaultColWidth="8.6640625" defaultRowHeight="14.4" x14ac:dyDescent="0.3"/>
  <cols>
    <col min="1" max="1" width="5" customWidth="1"/>
    <col min="2" max="2" width="14" customWidth="1"/>
    <col min="3" max="3" width="26.33203125" customWidth="1"/>
    <col min="4" max="6" width="14" customWidth="1"/>
    <col min="7" max="7" width="16" customWidth="1"/>
    <col min="8" max="8" width="14" customWidth="1"/>
    <col min="9" max="9" width="9.109375" customWidth="1"/>
  </cols>
  <sheetData>
    <row r="1" spans="2:9" ht="7.5" customHeight="1" x14ac:dyDescent="0.3"/>
    <row r="2" spans="2:9" ht="36" customHeight="1" x14ac:dyDescent="0.3">
      <c r="B2" s="86" t="s">
        <v>0</v>
      </c>
      <c r="C2" s="86"/>
      <c r="D2" s="86"/>
      <c r="E2" s="86"/>
      <c r="F2" s="86"/>
      <c r="G2" s="86"/>
      <c r="H2" s="86"/>
    </row>
    <row r="3" spans="2:9" ht="30" customHeight="1" x14ac:dyDescent="0.3">
      <c r="B3" s="87" t="s">
        <v>1</v>
      </c>
      <c r="C3" s="87"/>
      <c r="D3" s="87"/>
      <c r="E3" s="87"/>
      <c r="F3" s="87"/>
      <c r="G3" s="87"/>
      <c r="H3" s="87"/>
    </row>
    <row r="4" spans="2:9" ht="24" customHeight="1" x14ac:dyDescent="0.3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2:9" ht="15" customHeight="1" x14ac:dyDescent="0.3">
      <c r="B5" s="5" t="s">
        <v>10</v>
      </c>
      <c r="C5" s="5" t="s">
        <v>11</v>
      </c>
      <c r="D5" s="6" t="s">
        <v>12</v>
      </c>
      <c r="E5" s="5" t="s">
        <v>13</v>
      </c>
      <c r="F5" s="7">
        <v>5</v>
      </c>
      <c r="G5" s="7">
        <v>28500</v>
      </c>
      <c r="H5" s="8">
        <v>0.1</v>
      </c>
      <c r="I5" s="5" t="s">
        <v>14</v>
      </c>
    </row>
    <row r="6" spans="2:9" ht="15" customHeight="1" x14ac:dyDescent="0.3">
      <c r="B6" s="9"/>
      <c r="C6" s="10" t="s">
        <v>15</v>
      </c>
      <c r="D6" s="11" t="s">
        <v>16</v>
      </c>
      <c r="E6" s="10" t="s">
        <v>17</v>
      </c>
      <c r="F6" s="12">
        <v>2</v>
      </c>
      <c r="G6" s="12">
        <v>4200</v>
      </c>
      <c r="H6" s="13">
        <v>0.05</v>
      </c>
      <c r="I6" s="10" t="s">
        <v>18</v>
      </c>
    </row>
    <row r="7" spans="2:9" ht="15" customHeight="1" x14ac:dyDescent="0.3">
      <c r="B7" s="5" t="s">
        <v>19</v>
      </c>
      <c r="C7" s="5" t="s">
        <v>20</v>
      </c>
      <c r="D7" s="6" t="s">
        <v>21</v>
      </c>
      <c r="E7" s="5" t="s">
        <v>22</v>
      </c>
      <c r="F7" s="7">
        <v>8</v>
      </c>
      <c r="G7" s="7">
        <v>2800</v>
      </c>
      <c r="H7" s="8">
        <v>0</v>
      </c>
      <c r="I7" s="5" t="s">
        <v>23</v>
      </c>
    </row>
    <row r="8" spans="2:9" ht="15" customHeight="1" x14ac:dyDescent="0.3">
      <c r="B8" s="14" t="s">
        <v>24</v>
      </c>
      <c r="C8" s="14" t="s">
        <v>25</v>
      </c>
      <c r="D8" s="15" t="s">
        <v>26</v>
      </c>
      <c r="E8" s="14" t="s">
        <v>27</v>
      </c>
      <c r="F8" s="16">
        <v>3</v>
      </c>
      <c r="G8" s="16">
        <v>62000</v>
      </c>
      <c r="H8" s="17">
        <v>0.15</v>
      </c>
      <c r="I8" s="14" t="s">
        <v>14</v>
      </c>
    </row>
    <row r="9" spans="2:9" ht="15" customHeight="1" x14ac:dyDescent="0.3">
      <c r="B9" s="10" t="s">
        <v>28</v>
      </c>
      <c r="C9" s="10" t="s">
        <v>29</v>
      </c>
      <c r="D9" s="11" t="s">
        <v>30</v>
      </c>
      <c r="E9" s="10" t="s">
        <v>31</v>
      </c>
      <c r="F9" s="12">
        <v>6</v>
      </c>
      <c r="G9" s="12">
        <v>1200</v>
      </c>
      <c r="H9" s="13">
        <v>0.05</v>
      </c>
      <c r="I9" s="10" t="s">
        <v>32</v>
      </c>
    </row>
    <row r="10" spans="2:9" ht="15" customHeight="1" x14ac:dyDescent="0.3">
      <c r="B10" s="14" t="s">
        <v>33</v>
      </c>
      <c r="C10" s="14" t="s">
        <v>34</v>
      </c>
      <c r="D10" s="15" t="s">
        <v>35</v>
      </c>
      <c r="E10" s="14" t="s">
        <v>13</v>
      </c>
      <c r="F10" s="16">
        <v>1</v>
      </c>
      <c r="G10" s="16">
        <v>28500</v>
      </c>
      <c r="H10" s="17">
        <v>0</v>
      </c>
      <c r="I10" s="14" t="s">
        <v>18</v>
      </c>
    </row>
    <row r="11" spans="2:9" ht="15" customHeight="1" x14ac:dyDescent="0.3">
      <c r="B11" s="5" t="s">
        <v>36</v>
      </c>
      <c r="C11" s="5" t="s">
        <v>37</v>
      </c>
      <c r="D11" s="6" t="s">
        <v>38</v>
      </c>
      <c r="E11" s="5" t="s">
        <v>39</v>
      </c>
      <c r="F11" s="7">
        <v>4</v>
      </c>
      <c r="G11" s="7">
        <v>2200</v>
      </c>
      <c r="H11" s="8">
        <v>0.1</v>
      </c>
      <c r="I11" s="5" t="s">
        <v>23</v>
      </c>
    </row>
    <row r="12" spans="2:9" ht="15" customHeight="1" x14ac:dyDescent="0.3">
      <c r="B12" s="14" t="s">
        <v>40</v>
      </c>
      <c r="C12" s="14" t="s">
        <v>41</v>
      </c>
      <c r="D12" s="15" t="s">
        <v>42</v>
      </c>
      <c r="E12" s="14" t="s">
        <v>17</v>
      </c>
      <c r="F12" s="16">
        <v>3</v>
      </c>
      <c r="G12" s="16">
        <v>4200</v>
      </c>
      <c r="H12" s="17">
        <v>0.08</v>
      </c>
      <c r="I12" s="14" t="s">
        <v>14</v>
      </c>
    </row>
    <row r="13" spans="2:9" ht="15" customHeight="1" x14ac:dyDescent="0.3">
      <c r="B13" s="10" t="s">
        <v>43</v>
      </c>
      <c r="C13" s="10" t="s">
        <v>44</v>
      </c>
      <c r="D13" s="11" t="s">
        <v>45</v>
      </c>
      <c r="E13" s="10" t="s">
        <v>22</v>
      </c>
      <c r="F13" s="12">
        <v>10</v>
      </c>
      <c r="G13" s="18">
        <v>2800</v>
      </c>
      <c r="H13" s="13">
        <v>0</v>
      </c>
      <c r="I13" s="10" t="s">
        <v>32</v>
      </c>
    </row>
    <row r="14" spans="2:9" ht="15" customHeight="1" x14ac:dyDescent="0.3">
      <c r="B14" s="14" t="s">
        <v>46</v>
      </c>
      <c r="C14" s="14" t="s">
        <v>47</v>
      </c>
      <c r="D14" s="15" t="s">
        <v>48</v>
      </c>
      <c r="E14" s="14" t="s">
        <v>27</v>
      </c>
      <c r="F14" s="16">
        <v>2</v>
      </c>
      <c r="G14" s="16">
        <v>62000</v>
      </c>
      <c r="H14" s="17">
        <v>0.12</v>
      </c>
      <c r="I14" s="14" t="s">
        <v>18</v>
      </c>
    </row>
    <row r="15" spans="2:9" ht="15" customHeight="1" x14ac:dyDescent="0.3">
      <c r="B15" s="5" t="s">
        <v>49</v>
      </c>
      <c r="C15" s="5" t="s">
        <v>50</v>
      </c>
      <c r="D15" s="6" t="s">
        <v>51</v>
      </c>
      <c r="E15" s="5" t="s">
        <v>31</v>
      </c>
      <c r="F15" s="7">
        <v>7</v>
      </c>
      <c r="G15" s="7">
        <v>1200</v>
      </c>
      <c r="H15" s="8">
        <v>0.05</v>
      </c>
      <c r="I15" s="5" t="s">
        <v>23</v>
      </c>
    </row>
    <row r="16" spans="2:9" ht="15" customHeight="1" x14ac:dyDescent="0.3">
      <c r="B16" s="10" t="s">
        <v>52</v>
      </c>
      <c r="C16" s="10" t="s">
        <v>53</v>
      </c>
      <c r="D16" s="11" t="s">
        <v>54</v>
      </c>
      <c r="E16" s="10" t="s">
        <v>39</v>
      </c>
      <c r="F16" s="12">
        <v>5</v>
      </c>
      <c r="G16" s="12">
        <v>2200</v>
      </c>
      <c r="H16" s="19" t="s">
        <v>55</v>
      </c>
      <c r="I16" s="10" t="s">
        <v>14</v>
      </c>
    </row>
    <row r="17" spans="2:9" ht="15" customHeight="1" x14ac:dyDescent="0.3">
      <c r="B17" s="5" t="s">
        <v>56</v>
      </c>
      <c r="C17" s="5" t="s">
        <v>57</v>
      </c>
      <c r="D17" s="6" t="s">
        <v>58</v>
      </c>
      <c r="E17" s="5" t="s">
        <v>13</v>
      </c>
      <c r="F17" s="7">
        <v>2</v>
      </c>
      <c r="G17" s="7">
        <v>28500</v>
      </c>
      <c r="H17" s="8">
        <v>0.1</v>
      </c>
      <c r="I17" s="5" t="s">
        <v>32</v>
      </c>
    </row>
    <row r="18" spans="2:9" ht="15" customHeight="1" x14ac:dyDescent="0.3">
      <c r="B18" s="14" t="s">
        <v>59</v>
      </c>
      <c r="C18" s="14" t="s">
        <v>60</v>
      </c>
      <c r="D18" s="15" t="s">
        <v>61</v>
      </c>
      <c r="E18" s="14" t="s">
        <v>17</v>
      </c>
      <c r="F18" s="16">
        <v>9</v>
      </c>
      <c r="G18" s="16">
        <v>4200</v>
      </c>
      <c r="H18" s="17">
        <v>0.05</v>
      </c>
      <c r="I18" s="14" t="s">
        <v>18</v>
      </c>
    </row>
    <row r="19" spans="2:9" ht="15" customHeight="1" x14ac:dyDescent="0.3">
      <c r="B19" s="10" t="s">
        <v>62</v>
      </c>
      <c r="C19" s="10" t="s">
        <v>63</v>
      </c>
      <c r="D19" s="11" t="s">
        <v>12</v>
      </c>
      <c r="E19" s="10" t="s">
        <v>22</v>
      </c>
      <c r="F19" s="12">
        <v>4</v>
      </c>
      <c r="G19" s="12">
        <v>2800</v>
      </c>
      <c r="H19" s="13">
        <v>0</v>
      </c>
      <c r="I19" s="19"/>
    </row>
    <row r="20" spans="2:9" ht="15" customHeight="1" x14ac:dyDescent="0.3">
      <c r="B20" s="14" t="s">
        <v>64</v>
      </c>
      <c r="C20" s="14" t="s">
        <v>65</v>
      </c>
      <c r="D20" s="15" t="s">
        <v>16</v>
      </c>
      <c r="E20" s="14" t="s">
        <v>27</v>
      </c>
      <c r="F20" s="16">
        <v>1</v>
      </c>
      <c r="G20" s="16">
        <v>62000</v>
      </c>
      <c r="H20" s="17">
        <v>0.15</v>
      </c>
      <c r="I20" s="14" t="s">
        <v>14</v>
      </c>
    </row>
    <row r="21" spans="2:9" ht="15" customHeight="1" x14ac:dyDescent="0.3">
      <c r="B21" s="10" t="s">
        <v>66</v>
      </c>
      <c r="C21" s="10" t="s">
        <v>67</v>
      </c>
      <c r="D21" s="11" t="s">
        <v>21</v>
      </c>
      <c r="E21" s="10" t="s">
        <v>31</v>
      </c>
      <c r="F21" s="12">
        <v>8</v>
      </c>
      <c r="G21" s="12">
        <v>1200</v>
      </c>
      <c r="H21" s="13">
        <v>0.05</v>
      </c>
      <c r="I21" s="10" t="s">
        <v>23</v>
      </c>
    </row>
    <row r="22" spans="2:9" ht="15" customHeight="1" x14ac:dyDescent="0.3">
      <c r="B22" s="14" t="s">
        <v>68</v>
      </c>
      <c r="C22" s="14" t="s">
        <v>69</v>
      </c>
      <c r="D22" s="15"/>
      <c r="E22" s="14" t="s">
        <v>39</v>
      </c>
      <c r="F22" s="16">
        <v>3</v>
      </c>
      <c r="G22" s="16">
        <v>2200</v>
      </c>
      <c r="H22" s="17">
        <v>0.1</v>
      </c>
      <c r="I22" s="14" t="s">
        <v>18</v>
      </c>
    </row>
    <row r="23" spans="2:9" ht="15" customHeight="1" x14ac:dyDescent="0.3">
      <c r="B23" s="5" t="s">
        <v>70</v>
      </c>
      <c r="C23" s="5" t="s">
        <v>71</v>
      </c>
      <c r="D23" s="6" t="s">
        <v>35</v>
      </c>
      <c r="E23" s="5" t="s">
        <v>13</v>
      </c>
      <c r="F23" s="7">
        <v>6</v>
      </c>
      <c r="G23" s="7">
        <v>28500</v>
      </c>
      <c r="H23" s="8">
        <v>0.08</v>
      </c>
      <c r="I23" s="5" t="s">
        <v>32</v>
      </c>
    </row>
    <row r="24" spans="2:9" ht="15" customHeight="1" x14ac:dyDescent="0.3">
      <c r="B24" s="14" t="s">
        <v>72</v>
      </c>
      <c r="C24" s="14" t="s">
        <v>73</v>
      </c>
      <c r="D24" s="15" t="s">
        <v>38</v>
      </c>
      <c r="E24" s="14" t="s">
        <v>17</v>
      </c>
      <c r="F24" s="16">
        <v>4</v>
      </c>
      <c r="G24" s="16">
        <v>4200</v>
      </c>
      <c r="H24" s="17">
        <v>0.05</v>
      </c>
      <c r="I24" s="14" t="s">
        <v>23</v>
      </c>
    </row>
    <row r="26" spans="2:9" ht="15" customHeight="1" x14ac:dyDescent="0.3">
      <c r="B26" s="88" t="s">
        <v>74</v>
      </c>
      <c r="C26" s="88"/>
      <c r="D26" s="88"/>
      <c r="E26" s="88"/>
      <c r="F26" s="88"/>
      <c r="G26" s="88"/>
      <c r="H26" s="88"/>
      <c r="I26" s="88"/>
    </row>
    <row r="27" spans="2:9" ht="19.5" customHeight="1" x14ac:dyDescent="0.3">
      <c r="B27" s="20" t="s">
        <v>75</v>
      </c>
      <c r="C27" s="21" t="s">
        <v>76</v>
      </c>
      <c r="D27" s="89" t="s">
        <v>77</v>
      </c>
      <c r="E27" s="89"/>
      <c r="F27" s="89"/>
      <c r="G27" s="22"/>
      <c r="H27" s="22"/>
      <c r="I27" s="22"/>
    </row>
    <row r="28" spans="2:9" ht="19.5" customHeight="1" x14ac:dyDescent="0.3">
      <c r="B28" s="23" t="s">
        <v>78</v>
      </c>
      <c r="C28" s="24" t="s">
        <v>79</v>
      </c>
      <c r="D28" s="90" t="s">
        <v>80</v>
      </c>
      <c r="E28" s="90"/>
      <c r="F28" s="90"/>
      <c r="G28" s="25"/>
      <c r="H28" s="25"/>
      <c r="I28" s="25"/>
    </row>
    <row r="29" spans="2:9" ht="19.5" customHeight="1" x14ac:dyDescent="0.3">
      <c r="B29" s="20" t="s">
        <v>81</v>
      </c>
      <c r="C29" s="21" t="s">
        <v>82</v>
      </c>
      <c r="D29" s="89" t="s">
        <v>83</v>
      </c>
      <c r="E29" s="89"/>
      <c r="F29" s="89"/>
      <c r="G29" s="22"/>
      <c r="H29" s="22"/>
      <c r="I29" s="22"/>
    </row>
    <row r="30" spans="2:9" ht="19.5" customHeight="1" x14ac:dyDescent="0.3">
      <c r="B30" s="23" t="s">
        <v>84</v>
      </c>
      <c r="C30" s="24" t="s">
        <v>85</v>
      </c>
      <c r="D30" s="90" t="s">
        <v>86</v>
      </c>
      <c r="E30" s="90"/>
      <c r="F30" s="90"/>
      <c r="G30" s="25"/>
      <c r="H30" s="25"/>
      <c r="I30" s="25"/>
    </row>
    <row r="31" spans="2:9" ht="19.5" customHeight="1" x14ac:dyDescent="0.3">
      <c r="B31" s="20" t="s">
        <v>87</v>
      </c>
      <c r="C31" s="21" t="s">
        <v>88</v>
      </c>
      <c r="D31" s="89" t="s">
        <v>89</v>
      </c>
      <c r="E31" s="89"/>
      <c r="F31" s="89"/>
      <c r="G31" s="22"/>
      <c r="H31" s="22"/>
      <c r="I31" s="22"/>
    </row>
    <row r="32" spans="2:9" ht="19.5" customHeight="1" x14ac:dyDescent="0.3">
      <c r="B32" s="23" t="s">
        <v>90</v>
      </c>
      <c r="C32" s="24" t="s">
        <v>91</v>
      </c>
      <c r="D32" s="90" t="s">
        <v>92</v>
      </c>
      <c r="E32" s="90"/>
      <c r="F32" s="90"/>
      <c r="G32" s="25"/>
      <c r="H32" s="25"/>
      <c r="I32" s="25"/>
    </row>
    <row r="33" spans="2:9" ht="19.5" customHeight="1" x14ac:dyDescent="0.3">
      <c r="B33" s="20" t="s">
        <v>93</v>
      </c>
      <c r="C33" s="21" t="s">
        <v>94</v>
      </c>
      <c r="D33" s="89" t="s">
        <v>95</v>
      </c>
      <c r="E33" s="89"/>
      <c r="F33" s="89"/>
      <c r="G33" s="22"/>
      <c r="H33" s="22"/>
      <c r="I33" s="22"/>
    </row>
  </sheetData>
  <mergeCells count="10">
    <mergeCell ref="D29:F29"/>
    <mergeCell ref="D30:F30"/>
    <mergeCell ref="D31:F31"/>
    <mergeCell ref="D32:F32"/>
    <mergeCell ref="D33:F33"/>
    <mergeCell ref="B2:H2"/>
    <mergeCell ref="B3:H3"/>
    <mergeCell ref="B26:I26"/>
    <mergeCell ref="D27:F27"/>
    <mergeCell ref="D28:F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49D41-CC94-486B-BB23-FBF0F6D4782A}">
  <dimension ref="A1:H21"/>
  <sheetViews>
    <sheetView workbookViewId="0">
      <selection activeCell="D19" sqref="D19"/>
    </sheetView>
  </sheetViews>
  <sheetFormatPr defaultRowHeight="14.4" x14ac:dyDescent="0.3"/>
  <cols>
    <col min="1" max="8" width="15.44140625" customWidth="1"/>
  </cols>
  <sheetData>
    <row r="1" spans="1:8" x14ac:dyDescent="0.3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</row>
    <row r="2" spans="1:8" x14ac:dyDescent="0.3">
      <c r="A2" s="5" t="s">
        <v>10</v>
      </c>
      <c r="B2" s="66" t="s">
        <v>11</v>
      </c>
      <c r="C2" s="6" t="s">
        <v>12</v>
      </c>
      <c r="D2" s="5" t="s">
        <v>13</v>
      </c>
      <c r="E2" s="7">
        <v>5</v>
      </c>
      <c r="F2" s="7">
        <v>28500</v>
      </c>
      <c r="G2" s="8">
        <v>0.1</v>
      </c>
      <c r="H2" s="5" t="s">
        <v>14</v>
      </c>
    </row>
    <row r="3" spans="1:8" x14ac:dyDescent="0.3">
      <c r="A3" s="9" t="s">
        <v>131</v>
      </c>
      <c r="B3" s="67" t="s">
        <v>15</v>
      </c>
      <c r="C3" s="11" t="s">
        <v>16</v>
      </c>
      <c r="D3" s="10" t="s">
        <v>17</v>
      </c>
      <c r="E3" s="12">
        <v>2</v>
      </c>
      <c r="F3" s="12">
        <v>4200</v>
      </c>
      <c r="G3" s="13">
        <v>0.05</v>
      </c>
      <c r="H3" s="10" t="s">
        <v>18</v>
      </c>
    </row>
    <row r="4" spans="1:8" x14ac:dyDescent="0.3">
      <c r="A4" s="5" t="s">
        <v>19</v>
      </c>
      <c r="B4" s="66" t="s">
        <v>20</v>
      </c>
      <c r="C4" s="6" t="s">
        <v>21</v>
      </c>
      <c r="D4" s="5" t="s">
        <v>22</v>
      </c>
      <c r="E4" s="7">
        <v>8</v>
      </c>
      <c r="F4" s="7">
        <v>2800</v>
      </c>
      <c r="G4" s="8">
        <v>0</v>
      </c>
      <c r="H4" s="5" t="s">
        <v>23</v>
      </c>
    </row>
    <row r="5" spans="1:8" x14ac:dyDescent="0.3">
      <c r="A5" s="14" t="s">
        <v>24</v>
      </c>
      <c r="B5" s="68" t="s">
        <v>25</v>
      </c>
      <c r="C5" s="15" t="s">
        <v>26</v>
      </c>
      <c r="D5" s="14" t="s">
        <v>27</v>
      </c>
      <c r="E5" s="16">
        <v>3</v>
      </c>
      <c r="F5" s="16">
        <v>62000</v>
      </c>
      <c r="G5" s="17">
        <v>0.15</v>
      </c>
      <c r="H5" s="14" t="s">
        <v>14</v>
      </c>
    </row>
    <row r="6" spans="1:8" x14ac:dyDescent="0.3">
      <c r="A6" s="10" t="s">
        <v>28</v>
      </c>
      <c r="B6" s="67">
        <v>45672</v>
      </c>
      <c r="C6" s="11" t="s">
        <v>30</v>
      </c>
      <c r="D6" s="10" t="s">
        <v>31</v>
      </c>
      <c r="E6" s="12">
        <v>6</v>
      </c>
      <c r="F6" s="12">
        <v>1200</v>
      </c>
      <c r="G6" s="13">
        <v>0.05</v>
      </c>
      <c r="H6" s="10" t="s">
        <v>32</v>
      </c>
    </row>
    <row r="7" spans="1:8" x14ac:dyDescent="0.3">
      <c r="A7" s="14" t="s">
        <v>33</v>
      </c>
      <c r="B7" s="68" t="s">
        <v>34</v>
      </c>
      <c r="C7" s="15" t="s">
        <v>35</v>
      </c>
      <c r="D7" s="14" t="s">
        <v>13</v>
      </c>
      <c r="E7" s="16">
        <v>1</v>
      </c>
      <c r="F7" s="16">
        <v>28500</v>
      </c>
      <c r="G7" s="17">
        <v>0</v>
      </c>
      <c r="H7" s="14" t="s">
        <v>18</v>
      </c>
    </row>
    <row r="8" spans="1:8" x14ac:dyDescent="0.3">
      <c r="A8" s="5" t="s">
        <v>36</v>
      </c>
      <c r="B8" s="66" t="s">
        <v>37</v>
      </c>
      <c r="C8" s="6" t="s">
        <v>38</v>
      </c>
      <c r="D8" s="5" t="s">
        <v>39</v>
      </c>
      <c r="E8" s="7">
        <v>4</v>
      </c>
      <c r="F8" s="7">
        <v>2200</v>
      </c>
      <c r="G8" s="8">
        <v>0.1</v>
      </c>
      <c r="H8" s="5" t="s">
        <v>23</v>
      </c>
    </row>
    <row r="9" spans="1:8" x14ac:dyDescent="0.3">
      <c r="A9" s="14" t="s">
        <v>40</v>
      </c>
      <c r="B9" s="68" t="s">
        <v>41</v>
      </c>
      <c r="C9" s="15" t="s">
        <v>42</v>
      </c>
      <c r="D9" s="14" t="s">
        <v>17</v>
      </c>
      <c r="E9" s="16">
        <v>3</v>
      </c>
      <c r="F9" s="16">
        <v>4200</v>
      </c>
      <c r="G9" s="17">
        <v>0.08</v>
      </c>
      <c r="H9" s="14" t="s">
        <v>14</v>
      </c>
    </row>
    <row r="10" spans="1:8" x14ac:dyDescent="0.3">
      <c r="A10" s="10" t="s">
        <v>43</v>
      </c>
      <c r="B10" s="67" t="s">
        <v>44</v>
      </c>
      <c r="C10" s="11" t="s">
        <v>45</v>
      </c>
      <c r="D10" s="10" t="s">
        <v>22</v>
      </c>
      <c r="E10" s="12">
        <v>10</v>
      </c>
      <c r="F10" s="18">
        <v>2800</v>
      </c>
      <c r="G10" s="13">
        <v>0</v>
      </c>
      <c r="H10" s="10" t="s">
        <v>32</v>
      </c>
    </row>
    <row r="11" spans="1:8" x14ac:dyDescent="0.3">
      <c r="A11" s="14" t="s">
        <v>46</v>
      </c>
      <c r="B11" s="68" t="s">
        <v>47</v>
      </c>
      <c r="C11" s="15" t="s">
        <v>48</v>
      </c>
      <c r="D11" s="14" t="s">
        <v>27</v>
      </c>
      <c r="E11" s="16">
        <v>2</v>
      </c>
      <c r="F11" s="16">
        <v>62000</v>
      </c>
      <c r="G11" s="17">
        <v>0.12</v>
      </c>
      <c r="H11" s="14" t="s">
        <v>18</v>
      </c>
    </row>
    <row r="12" spans="1:8" x14ac:dyDescent="0.3">
      <c r="A12" s="5" t="s">
        <v>49</v>
      </c>
      <c r="B12" s="66" t="s">
        <v>50</v>
      </c>
      <c r="C12" s="6" t="s">
        <v>51</v>
      </c>
      <c r="D12" s="5" t="s">
        <v>31</v>
      </c>
      <c r="E12" s="7">
        <v>7</v>
      </c>
      <c r="F12" s="7">
        <v>1200</v>
      </c>
      <c r="G12" s="8">
        <v>0.05</v>
      </c>
      <c r="H12" s="5" t="s">
        <v>23</v>
      </c>
    </row>
    <row r="13" spans="1:8" x14ac:dyDescent="0.3">
      <c r="A13" s="10" t="s">
        <v>52</v>
      </c>
      <c r="B13" s="67" t="s">
        <v>53</v>
      </c>
      <c r="C13" s="11" t="s">
        <v>54</v>
      </c>
      <c r="D13" s="10" t="s">
        <v>39</v>
      </c>
      <c r="E13" s="12">
        <v>5</v>
      </c>
      <c r="F13" s="12">
        <v>2200</v>
      </c>
      <c r="G13" s="69">
        <v>0</v>
      </c>
      <c r="H13" s="10" t="s">
        <v>14</v>
      </c>
    </row>
    <row r="14" spans="1:8" x14ac:dyDescent="0.3">
      <c r="A14" s="5" t="s">
        <v>56</v>
      </c>
      <c r="B14" s="66" t="s">
        <v>57</v>
      </c>
      <c r="C14" s="6" t="s">
        <v>58</v>
      </c>
      <c r="D14" s="5" t="s">
        <v>13</v>
      </c>
      <c r="E14" s="7">
        <v>2</v>
      </c>
      <c r="F14" s="7">
        <v>28500</v>
      </c>
      <c r="G14" s="8">
        <v>0.1</v>
      </c>
      <c r="H14" s="5" t="s">
        <v>32</v>
      </c>
    </row>
    <row r="15" spans="1:8" x14ac:dyDescent="0.3">
      <c r="A15" s="14" t="s">
        <v>59</v>
      </c>
      <c r="B15" s="68" t="s">
        <v>60</v>
      </c>
      <c r="C15" s="15" t="s">
        <v>61</v>
      </c>
      <c r="D15" s="14" t="s">
        <v>17</v>
      </c>
      <c r="E15" s="16">
        <v>9</v>
      </c>
      <c r="F15" s="16">
        <v>4200</v>
      </c>
      <c r="G15" s="17">
        <v>0.05</v>
      </c>
      <c r="H15" s="14" t="s">
        <v>18</v>
      </c>
    </row>
    <row r="16" spans="1:8" x14ac:dyDescent="0.3">
      <c r="A16" s="10" t="s">
        <v>62</v>
      </c>
      <c r="B16" s="67" t="s">
        <v>63</v>
      </c>
      <c r="C16" s="11" t="s">
        <v>12</v>
      </c>
      <c r="D16" s="10" t="s">
        <v>22</v>
      </c>
      <c r="E16" s="12">
        <v>4</v>
      </c>
      <c r="F16" s="12">
        <v>2800</v>
      </c>
      <c r="G16" s="13">
        <v>0</v>
      </c>
      <c r="H16" s="71" t="s">
        <v>201</v>
      </c>
    </row>
    <row r="17" spans="1:8" x14ac:dyDescent="0.3">
      <c r="A17" s="14" t="s">
        <v>64</v>
      </c>
      <c r="B17" s="68" t="s">
        <v>65</v>
      </c>
      <c r="C17" s="15" t="s">
        <v>16</v>
      </c>
      <c r="D17" s="14" t="s">
        <v>27</v>
      </c>
      <c r="E17" s="16">
        <v>1</v>
      </c>
      <c r="F17" s="16">
        <v>62000</v>
      </c>
      <c r="G17" s="17">
        <v>0.15</v>
      </c>
      <c r="H17" s="14" t="s">
        <v>14</v>
      </c>
    </row>
    <row r="18" spans="1:8" x14ac:dyDescent="0.3">
      <c r="A18" s="10" t="s">
        <v>66</v>
      </c>
      <c r="B18" s="67">
        <v>45692</v>
      </c>
      <c r="C18" s="11" t="s">
        <v>21</v>
      </c>
      <c r="D18" s="10" t="s">
        <v>31</v>
      </c>
      <c r="E18" s="12">
        <v>8</v>
      </c>
      <c r="F18" s="12">
        <v>1200</v>
      </c>
      <c r="G18" s="13">
        <v>0.05</v>
      </c>
      <c r="H18" s="10" t="s">
        <v>23</v>
      </c>
    </row>
    <row r="19" spans="1:8" x14ac:dyDescent="0.3">
      <c r="A19" s="14" t="s">
        <v>68</v>
      </c>
      <c r="B19" s="68" t="s">
        <v>69</v>
      </c>
      <c r="C19" s="70" t="s">
        <v>132</v>
      </c>
      <c r="D19" s="14" t="s">
        <v>39</v>
      </c>
      <c r="E19" s="16">
        <v>3</v>
      </c>
      <c r="F19" s="16">
        <v>2200</v>
      </c>
      <c r="G19" s="17">
        <v>0.1</v>
      </c>
      <c r="H19" s="14" t="s">
        <v>18</v>
      </c>
    </row>
    <row r="20" spans="1:8" x14ac:dyDescent="0.3">
      <c r="A20" s="5" t="s">
        <v>70</v>
      </c>
      <c r="B20" s="66" t="s">
        <v>71</v>
      </c>
      <c r="C20" s="6" t="s">
        <v>35</v>
      </c>
      <c r="D20" s="5" t="s">
        <v>13</v>
      </c>
      <c r="E20" s="7">
        <v>6</v>
      </c>
      <c r="F20" s="7">
        <v>28500</v>
      </c>
      <c r="G20" s="8">
        <v>0.08</v>
      </c>
      <c r="H20" s="5" t="s">
        <v>32</v>
      </c>
    </row>
    <row r="21" spans="1:8" x14ac:dyDescent="0.3">
      <c r="A21" s="14" t="s">
        <v>72</v>
      </c>
      <c r="B21" s="68" t="s">
        <v>73</v>
      </c>
      <c r="C21" s="15" t="s">
        <v>38</v>
      </c>
      <c r="D21" s="14" t="s">
        <v>17</v>
      </c>
      <c r="E21" s="16">
        <v>4</v>
      </c>
      <c r="F21" s="16">
        <v>4200</v>
      </c>
      <c r="G21" s="17">
        <v>0.05</v>
      </c>
      <c r="H21" s="1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1:H16"/>
  <sheetViews>
    <sheetView showGridLines="0" zoomScaleNormal="100" workbookViewId="0">
      <selection activeCell="C15" sqref="C15:F15"/>
    </sheetView>
  </sheetViews>
  <sheetFormatPr defaultColWidth="8.6640625" defaultRowHeight="14.4" x14ac:dyDescent="0.3"/>
  <cols>
    <col min="1" max="1" width="3" customWidth="1"/>
    <col min="2" max="2" width="14" customWidth="1"/>
    <col min="3" max="3" width="24" customWidth="1"/>
    <col min="4" max="5" width="14" customWidth="1"/>
    <col min="6" max="6" width="16" customWidth="1"/>
    <col min="7" max="8" width="18" customWidth="1"/>
    <col min="9" max="9" width="3" customWidth="1"/>
  </cols>
  <sheetData>
    <row r="1" spans="2:8" ht="7.5" customHeight="1" x14ac:dyDescent="0.3"/>
    <row r="2" spans="2:8" ht="33.75" customHeight="1" x14ac:dyDescent="0.3">
      <c r="B2" s="73" t="s">
        <v>96</v>
      </c>
      <c r="C2" s="73"/>
      <c r="D2" s="73"/>
      <c r="E2" s="73"/>
      <c r="F2" s="73"/>
      <c r="G2" s="73"/>
      <c r="H2" s="73"/>
    </row>
    <row r="3" spans="2:8" ht="27.75" customHeight="1" x14ac:dyDescent="0.3">
      <c r="B3" s="74" t="s">
        <v>97</v>
      </c>
      <c r="C3" s="74"/>
      <c r="D3" s="74"/>
      <c r="E3" s="74"/>
      <c r="F3" s="74"/>
      <c r="G3" s="74"/>
      <c r="H3" s="74"/>
    </row>
    <row r="4" spans="2:8" ht="24" customHeight="1" x14ac:dyDescent="0.3">
      <c r="B4" s="2" t="s">
        <v>5</v>
      </c>
      <c r="C4" s="2" t="s">
        <v>98</v>
      </c>
      <c r="D4" s="2" t="s">
        <v>99</v>
      </c>
      <c r="E4" s="2" t="s">
        <v>7</v>
      </c>
      <c r="F4" s="2" t="s">
        <v>100</v>
      </c>
      <c r="G4" s="2" t="s">
        <v>101</v>
      </c>
      <c r="H4" s="2" t="s">
        <v>102</v>
      </c>
    </row>
    <row r="5" spans="2:8" ht="15" customHeight="1" x14ac:dyDescent="0.3">
      <c r="B5" s="26" t="s">
        <v>13</v>
      </c>
      <c r="C5" s="27" t="s">
        <v>103</v>
      </c>
      <c r="D5" s="28" t="s">
        <v>104</v>
      </c>
      <c r="E5" s="29">
        <v>28500</v>
      </c>
      <c r="F5" s="29">
        <v>19000</v>
      </c>
      <c r="G5" s="30">
        <v>0.33</v>
      </c>
      <c r="H5" s="28">
        <v>1</v>
      </c>
    </row>
    <row r="6" spans="2:8" ht="15" customHeight="1" x14ac:dyDescent="0.3">
      <c r="B6" s="31" t="s">
        <v>27</v>
      </c>
      <c r="C6" s="6" t="s">
        <v>105</v>
      </c>
      <c r="D6" s="5" t="s">
        <v>104</v>
      </c>
      <c r="E6" s="7">
        <v>62000</v>
      </c>
      <c r="F6" s="7">
        <v>42000</v>
      </c>
      <c r="G6" s="8">
        <v>0.32</v>
      </c>
      <c r="H6" s="5">
        <v>1</v>
      </c>
    </row>
    <row r="7" spans="2:8" ht="15" customHeight="1" x14ac:dyDescent="0.3">
      <c r="B7" s="26" t="s">
        <v>17</v>
      </c>
      <c r="C7" s="27" t="s">
        <v>106</v>
      </c>
      <c r="D7" s="28" t="s">
        <v>107</v>
      </c>
      <c r="E7" s="29">
        <v>4200</v>
      </c>
      <c r="F7" s="29">
        <v>2600</v>
      </c>
      <c r="G7" s="30">
        <v>0.38</v>
      </c>
      <c r="H7" s="28">
        <v>2</v>
      </c>
    </row>
    <row r="8" spans="2:8" ht="15" customHeight="1" x14ac:dyDescent="0.3">
      <c r="B8" s="31" t="s">
        <v>22</v>
      </c>
      <c r="C8" s="6" t="s">
        <v>108</v>
      </c>
      <c r="D8" s="5" t="s">
        <v>109</v>
      </c>
      <c r="E8" s="7">
        <v>2800</v>
      </c>
      <c r="F8" s="7">
        <v>1500</v>
      </c>
      <c r="G8" s="8">
        <v>0.46</v>
      </c>
      <c r="H8" s="5">
        <v>3</v>
      </c>
    </row>
    <row r="9" spans="2:8" ht="15" customHeight="1" x14ac:dyDescent="0.3">
      <c r="B9" s="26" t="s">
        <v>31</v>
      </c>
      <c r="C9" s="27" t="s">
        <v>110</v>
      </c>
      <c r="D9" s="28" t="s">
        <v>111</v>
      </c>
      <c r="E9" s="29">
        <v>1200</v>
      </c>
      <c r="F9" s="29">
        <v>550</v>
      </c>
      <c r="G9" s="30">
        <v>0.54</v>
      </c>
      <c r="H9" s="28">
        <v>5</v>
      </c>
    </row>
    <row r="10" spans="2:8" ht="15" customHeight="1" x14ac:dyDescent="0.3">
      <c r="B10" s="31" t="s">
        <v>39</v>
      </c>
      <c r="C10" s="6" t="s">
        <v>112</v>
      </c>
      <c r="D10" s="5" t="s">
        <v>113</v>
      </c>
      <c r="E10" s="7">
        <v>2200</v>
      </c>
      <c r="F10" s="7">
        <v>1100</v>
      </c>
      <c r="G10" s="8">
        <v>0.5</v>
      </c>
      <c r="H10" s="5">
        <v>2</v>
      </c>
    </row>
    <row r="13" spans="2:8" ht="15" customHeight="1" x14ac:dyDescent="0.3">
      <c r="B13" s="95" t="s">
        <v>114</v>
      </c>
      <c r="C13" s="95"/>
      <c r="D13" s="95"/>
      <c r="E13" s="95"/>
      <c r="F13" s="95"/>
      <c r="G13" s="95"/>
      <c r="H13" s="95"/>
    </row>
    <row r="14" spans="2:8" ht="30" customHeight="1" x14ac:dyDescent="0.3">
      <c r="B14" s="32" t="s">
        <v>115</v>
      </c>
      <c r="C14" s="93" t="s">
        <v>116</v>
      </c>
      <c r="D14" s="93"/>
      <c r="E14" s="93"/>
      <c r="F14" s="93"/>
      <c r="G14" s="94" t="s">
        <v>117</v>
      </c>
      <c r="H14" s="94"/>
    </row>
    <row r="15" spans="2:8" ht="30" customHeight="1" x14ac:dyDescent="0.3">
      <c r="B15" s="33" t="s">
        <v>118</v>
      </c>
      <c r="C15" s="91" t="s">
        <v>119</v>
      </c>
      <c r="D15" s="91"/>
      <c r="E15" s="91"/>
      <c r="F15" s="91"/>
      <c r="G15" s="92" t="s">
        <v>120</v>
      </c>
      <c r="H15" s="92"/>
    </row>
    <row r="16" spans="2:8" ht="30" customHeight="1" x14ac:dyDescent="0.3">
      <c r="B16" s="32" t="s">
        <v>121</v>
      </c>
      <c r="C16" s="93" t="s">
        <v>122</v>
      </c>
      <c r="D16" s="93"/>
      <c r="E16" s="93"/>
      <c r="F16" s="93"/>
      <c r="G16" s="94" t="s">
        <v>123</v>
      </c>
      <c r="H16" s="94"/>
    </row>
  </sheetData>
  <mergeCells count="9">
    <mergeCell ref="C15:F15"/>
    <mergeCell ref="G15:H15"/>
    <mergeCell ref="C16:F16"/>
    <mergeCell ref="G16:H16"/>
    <mergeCell ref="B2:H2"/>
    <mergeCell ref="B3:H3"/>
    <mergeCell ref="B13:H13"/>
    <mergeCell ref="C14:F14"/>
    <mergeCell ref="G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5C2A"/>
  </sheetPr>
  <dimension ref="B1:M40"/>
  <sheetViews>
    <sheetView showGridLines="0" tabSelected="1" zoomScaleNormal="100" workbookViewId="0">
      <pane ySplit="4" topLeftCell="A32" activePane="bottomLeft" state="frozen"/>
      <selection pane="bottomLeft" activeCell="B41" sqref="B41"/>
    </sheetView>
  </sheetViews>
  <sheetFormatPr defaultColWidth="8.6640625" defaultRowHeight="14.4" x14ac:dyDescent="0.3"/>
  <cols>
    <col min="1" max="1" width="3" customWidth="1"/>
    <col min="2" max="2" width="12" customWidth="1"/>
    <col min="3" max="3" width="20" customWidth="1"/>
    <col min="4" max="4" width="14" customWidth="1"/>
    <col min="5" max="5" width="6" customWidth="1"/>
    <col min="6" max="6" width="17.109375" customWidth="1"/>
    <col min="7" max="10" width="14" customWidth="1"/>
    <col min="11" max="12" width="18" customWidth="1"/>
    <col min="13" max="13" width="16" customWidth="1"/>
    <col min="14" max="14" width="3" customWidth="1"/>
  </cols>
  <sheetData>
    <row r="1" spans="2:13" ht="7.5" customHeight="1" x14ac:dyDescent="0.3"/>
    <row r="2" spans="2:13" ht="36" customHeight="1" x14ac:dyDescent="0.3">
      <c r="B2" s="73" t="s">
        <v>124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2:13" ht="30" customHeight="1" x14ac:dyDescent="0.3">
      <c r="B3" s="74" t="s">
        <v>125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</row>
    <row r="4" spans="2:13" ht="36" customHeight="1" x14ac:dyDescent="0.3">
      <c r="B4" s="34" t="s">
        <v>2</v>
      </c>
      <c r="C4" s="34" t="s">
        <v>4</v>
      </c>
      <c r="D4" s="34" t="s">
        <v>5</v>
      </c>
      <c r="E4" s="34" t="s">
        <v>6</v>
      </c>
      <c r="F4" s="35" t="s">
        <v>98</v>
      </c>
      <c r="G4" s="35" t="s">
        <v>7</v>
      </c>
      <c r="H4" s="35" t="s">
        <v>100</v>
      </c>
      <c r="I4" s="34" t="s">
        <v>126</v>
      </c>
      <c r="J4" s="36" t="s">
        <v>127</v>
      </c>
      <c r="K4" s="36" t="s">
        <v>128</v>
      </c>
      <c r="L4" s="37" t="s">
        <v>129</v>
      </c>
      <c r="M4" s="37" t="s">
        <v>130</v>
      </c>
    </row>
    <row r="5" spans="2:13" ht="15" customHeight="1" x14ac:dyDescent="0.3">
      <c r="B5" s="38" t="s">
        <v>10</v>
      </c>
      <c r="C5" s="6" t="s">
        <v>12</v>
      </c>
      <c r="D5" s="5" t="s">
        <v>13</v>
      </c>
      <c r="E5" s="7">
        <v>5</v>
      </c>
      <c r="F5" s="39" t="str">
        <f>IFERROR(VLOOKUP(D5,'Product Catalogue'!$B$4:$C$10,2,0),"Not Found")</f>
        <v>Smart TV 55"</v>
      </c>
      <c r="G5" s="39">
        <f>IFERROR(VLOOKUP(D5,'Product Catalogue'!$B$4:$E$10,4,0),"Not Found")</f>
        <v>28500</v>
      </c>
      <c r="H5" s="39">
        <f>IFERROR(VLOOKUP(D5,'Product Catalogue'!$B$4:$F$10,5,0),"Not Found")</f>
        <v>19000</v>
      </c>
      <c r="I5" s="8">
        <v>0.1</v>
      </c>
      <c r="J5" s="72">
        <f>E5*G5*(1-I5)</f>
        <v>128250</v>
      </c>
      <c r="K5" s="40">
        <f>J5-E5*H5</f>
        <v>33250</v>
      </c>
      <c r="L5" s="41" t="str">
        <f>_xlfn.IFS(K5/J5&gt;0.4,"High Margin",K5/J5&gt;0.25,"Mid Margin",TRUE,"Low Margin")</f>
        <v>Mid Margin</v>
      </c>
      <c r="M5" s="41" t="str">
        <f>IF(E5&gt;=8,"Bulk-offer loyalty discount",IF(K5/J5&gt;0.4,"Premium-upsell","Standard"))</f>
        <v>Standard</v>
      </c>
    </row>
    <row r="6" spans="2:13" ht="15" customHeight="1" x14ac:dyDescent="0.3">
      <c r="B6" s="42" t="s">
        <v>131</v>
      </c>
      <c r="C6" s="15" t="s">
        <v>16</v>
      </c>
      <c r="D6" s="14" t="s">
        <v>17</v>
      </c>
      <c r="E6" s="16">
        <v>2</v>
      </c>
      <c r="F6" s="39" t="str">
        <f>IFERROR(VLOOKUP(D6,'Product Catalogue'!$B$4:$C$10,2,0),"Not Found")</f>
        <v>Air Fryer XL</v>
      </c>
      <c r="G6" s="39">
        <f>IFERROR(VLOOKUP(D6,'Product Catalogue'!$B$4:$E$10,4,0),"Not Found")</f>
        <v>4200</v>
      </c>
      <c r="H6" s="39">
        <f>IFERROR(VLOOKUP(D6,'Product Catalogue'!$B$4:$F$10,5,0),"Not Found")</f>
        <v>2600</v>
      </c>
      <c r="I6" s="17">
        <v>0.05</v>
      </c>
      <c r="J6" s="72">
        <f t="shared" ref="J6:J24" si="0">E6*G6*(1-I6)</f>
        <v>7980</v>
      </c>
      <c r="K6" s="40">
        <f t="shared" ref="K6:K24" si="1">J6-E6*H6</f>
        <v>2780</v>
      </c>
      <c r="L6" s="41" t="str">
        <f t="shared" ref="L6:L24" si="2">_xlfn.IFS(K6/J6&gt;0.4,"High Margin",K6/J6&gt;0.25,"Mid Margin",TRUE,"Low Margin")</f>
        <v>Mid Margin</v>
      </c>
      <c r="M6" s="41" t="str">
        <f t="shared" ref="M6:M24" si="3">IF(E6&gt;=8,"Bulk-offer loyalty discount",IF(K6/J6&gt;0.4,"Premium-upsell","Standard"))</f>
        <v>Standard</v>
      </c>
    </row>
    <row r="7" spans="2:13" ht="15" customHeight="1" x14ac:dyDescent="0.3">
      <c r="B7" s="38" t="s">
        <v>19</v>
      </c>
      <c r="C7" s="6" t="s">
        <v>21</v>
      </c>
      <c r="D7" s="5" t="s">
        <v>22</v>
      </c>
      <c r="E7" s="7">
        <v>8</v>
      </c>
      <c r="F7" s="39" t="str">
        <f>IFERROR(VLOOKUP(D7,'Product Catalogue'!$B$4:$C$10,2,0),"Not Found")</f>
        <v>Running Shoes M</v>
      </c>
      <c r="G7" s="39">
        <f>IFERROR(VLOOKUP(D7,'Product Catalogue'!$B$4:$E$10,4,0),"Not Found")</f>
        <v>2800</v>
      </c>
      <c r="H7" s="39">
        <f>IFERROR(VLOOKUP(D7,'Product Catalogue'!$B$4:$F$10,5,0),"Not Found")</f>
        <v>1500</v>
      </c>
      <c r="I7" s="8">
        <v>0</v>
      </c>
      <c r="J7" s="72">
        <f t="shared" si="0"/>
        <v>22400</v>
      </c>
      <c r="K7" s="40">
        <f t="shared" si="1"/>
        <v>10400</v>
      </c>
      <c r="L7" s="41" t="str">
        <f t="shared" si="2"/>
        <v>High Margin</v>
      </c>
      <c r="M7" s="41" t="str">
        <f t="shared" si="3"/>
        <v>Bulk-offer loyalty discount</v>
      </c>
    </row>
    <row r="8" spans="2:13" ht="15" customHeight="1" x14ac:dyDescent="0.3">
      <c r="B8" s="42" t="s">
        <v>24</v>
      </c>
      <c r="C8" s="15" t="s">
        <v>26</v>
      </c>
      <c r="D8" s="14" t="s">
        <v>27</v>
      </c>
      <c r="E8" s="16">
        <v>3</v>
      </c>
      <c r="F8" s="39" t="str">
        <f>IFERROR(VLOOKUP(D8,'Product Catalogue'!$B$4:$C$10,2,0),"Not Found")</f>
        <v>Laptop Pro 14</v>
      </c>
      <c r="G8" s="39">
        <f>IFERROR(VLOOKUP(D8,'Product Catalogue'!$B$4:$E$10,4,0),"Not Found")</f>
        <v>62000</v>
      </c>
      <c r="H8" s="39">
        <f>IFERROR(VLOOKUP(D8,'Product Catalogue'!$B$4:$F$10,5,0),"Not Found")</f>
        <v>42000</v>
      </c>
      <c r="I8" s="17">
        <v>0.15</v>
      </c>
      <c r="J8" s="72">
        <f t="shared" si="0"/>
        <v>158100</v>
      </c>
      <c r="K8" s="40">
        <f t="shared" si="1"/>
        <v>32100</v>
      </c>
      <c r="L8" s="41" t="str">
        <f t="shared" si="2"/>
        <v>Low Margin</v>
      </c>
      <c r="M8" s="41" t="str">
        <f t="shared" si="3"/>
        <v>Standard</v>
      </c>
    </row>
    <row r="9" spans="2:13" ht="15" customHeight="1" x14ac:dyDescent="0.3">
      <c r="B9" s="38" t="s">
        <v>28</v>
      </c>
      <c r="C9" s="6" t="s">
        <v>30</v>
      </c>
      <c r="D9" s="5" t="s">
        <v>31</v>
      </c>
      <c r="E9" s="7">
        <v>6</v>
      </c>
      <c r="F9" s="39" t="str">
        <f>IFERROR(VLOOKUP(D9,'Product Catalogue'!$B$4:$C$10,2,0),"Not Found")</f>
        <v>Yoga Mat Premium</v>
      </c>
      <c r="G9" s="39">
        <f>IFERROR(VLOOKUP(D9,'Product Catalogue'!$B$4:$E$10,4,0),"Not Found")</f>
        <v>1200</v>
      </c>
      <c r="H9" s="39">
        <f>IFERROR(VLOOKUP(D9,'Product Catalogue'!$B$4:$F$10,5,0),"Not Found")</f>
        <v>550</v>
      </c>
      <c r="I9" s="8">
        <v>0.05</v>
      </c>
      <c r="J9" s="72">
        <f t="shared" si="0"/>
        <v>6840</v>
      </c>
      <c r="K9" s="40">
        <f t="shared" si="1"/>
        <v>3540</v>
      </c>
      <c r="L9" s="41" t="str">
        <f t="shared" si="2"/>
        <v>High Margin</v>
      </c>
      <c r="M9" s="41" t="str">
        <f t="shared" si="3"/>
        <v>Premium-upsell</v>
      </c>
    </row>
    <row r="10" spans="2:13" ht="15" customHeight="1" x14ac:dyDescent="0.3">
      <c r="B10" s="42" t="s">
        <v>33</v>
      </c>
      <c r="C10" s="15" t="s">
        <v>35</v>
      </c>
      <c r="D10" s="14" t="s">
        <v>13</v>
      </c>
      <c r="E10" s="16">
        <v>1</v>
      </c>
      <c r="F10" s="39" t="str">
        <f>IFERROR(VLOOKUP(D10,'Product Catalogue'!$B$4:$C$10,2,0),"Not Found")</f>
        <v>Smart TV 55"</v>
      </c>
      <c r="G10" s="39">
        <f>IFERROR(VLOOKUP(D10,'Product Catalogue'!$B$4:$E$10,4,0),"Not Found")</f>
        <v>28500</v>
      </c>
      <c r="H10" s="39">
        <f>IFERROR(VLOOKUP(D10,'Product Catalogue'!$B$4:$F$10,5,0),"Not Found")</f>
        <v>19000</v>
      </c>
      <c r="I10" s="17">
        <v>0</v>
      </c>
      <c r="J10" s="72">
        <f t="shared" si="0"/>
        <v>28500</v>
      </c>
      <c r="K10" s="40">
        <f t="shared" si="1"/>
        <v>9500</v>
      </c>
      <c r="L10" s="41" t="str">
        <f t="shared" si="2"/>
        <v>Mid Margin</v>
      </c>
      <c r="M10" s="41" t="str">
        <f t="shared" si="3"/>
        <v>Standard</v>
      </c>
    </row>
    <row r="11" spans="2:13" ht="15" customHeight="1" x14ac:dyDescent="0.3">
      <c r="B11" s="38" t="s">
        <v>36</v>
      </c>
      <c r="C11" s="6" t="s">
        <v>38</v>
      </c>
      <c r="D11" s="5" t="s">
        <v>39</v>
      </c>
      <c r="E11" s="7">
        <v>4</v>
      </c>
      <c r="F11" s="39" t="str">
        <f>IFERROR(VLOOKUP(D11,'Product Catalogue'!$B$4:$C$10,2,0),"Not Found")</f>
        <v>Protein Powder 2kg</v>
      </c>
      <c r="G11" s="39">
        <f>IFERROR(VLOOKUP(D11,'Product Catalogue'!$B$4:$E$10,4,0),"Not Found")</f>
        <v>2200</v>
      </c>
      <c r="H11" s="39">
        <f>IFERROR(VLOOKUP(D11,'Product Catalogue'!$B$4:$F$10,5,0),"Not Found")</f>
        <v>1100</v>
      </c>
      <c r="I11" s="8">
        <v>0.1</v>
      </c>
      <c r="J11" s="72">
        <f t="shared" si="0"/>
        <v>7920</v>
      </c>
      <c r="K11" s="40">
        <f t="shared" si="1"/>
        <v>3520</v>
      </c>
      <c r="L11" s="41" t="str">
        <f t="shared" si="2"/>
        <v>High Margin</v>
      </c>
      <c r="M11" s="41" t="str">
        <f t="shared" si="3"/>
        <v>Premium-upsell</v>
      </c>
    </row>
    <row r="12" spans="2:13" ht="15" customHeight="1" x14ac:dyDescent="0.3">
      <c r="B12" s="42" t="s">
        <v>40</v>
      </c>
      <c r="C12" s="15" t="s">
        <v>42</v>
      </c>
      <c r="D12" s="14" t="s">
        <v>17</v>
      </c>
      <c r="E12" s="16">
        <v>3</v>
      </c>
      <c r="F12" s="39" t="str">
        <f>IFERROR(VLOOKUP(D12,'Product Catalogue'!$B$4:$C$10,2,0),"Not Found")</f>
        <v>Air Fryer XL</v>
      </c>
      <c r="G12" s="39">
        <f>IFERROR(VLOOKUP(D12,'Product Catalogue'!$B$4:$E$10,4,0),"Not Found")</f>
        <v>4200</v>
      </c>
      <c r="H12" s="39">
        <f>IFERROR(VLOOKUP(D12,'Product Catalogue'!$B$4:$F$10,5,0),"Not Found")</f>
        <v>2600</v>
      </c>
      <c r="I12" s="17">
        <v>0.08</v>
      </c>
      <c r="J12" s="72">
        <f t="shared" si="0"/>
        <v>11592</v>
      </c>
      <c r="K12" s="40">
        <f t="shared" si="1"/>
        <v>3792</v>
      </c>
      <c r="L12" s="41" t="str">
        <f t="shared" si="2"/>
        <v>Mid Margin</v>
      </c>
      <c r="M12" s="41" t="str">
        <f t="shared" si="3"/>
        <v>Standard</v>
      </c>
    </row>
    <row r="13" spans="2:13" ht="15" customHeight="1" x14ac:dyDescent="0.3">
      <c r="B13" s="38" t="s">
        <v>43</v>
      </c>
      <c r="C13" s="6" t="s">
        <v>45</v>
      </c>
      <c r="D13" s="5" t="s">
        <v>22</v>
      </c>
      <c r="E13" s="7">
        <v>10</v>
      </c>
      <c r="F13" s="39" t="str">
        <f>IFERROR(VLOOKUP(D13,'Product Catalogue'!$B$4:$C$10,2,0),"Not Found")</f>
        <v>Running Shoes M</v>
      </c>
      <c r="G13" s="39">
        <f>IFERROR(VLOOKUP(D13,'Product Catalogue'!$B$4:$E$10,4,0),"Not Found")</f>
        <v>2800</v>
      </c>
      <c r="H13" s="39">
        <f>IFERROR(VLOOKUP(D13,'Product Catalogue'!$B$4:$F$10,5,0),"Not Found")</f>
        <v>1500</v>
      </c>
      <c r="I13" s="8">
        <v>0</v>
      </c>
      <c r="J13" s="72">
        <f t="shared" si="0"/>
        <v>28000</v>
      </c>
      <c r="K13" s="40">
        <f t="shared" si="1"/>
        <v>13000</v>
      </c>
      <c r="L13" s="41" t="str">
        <f t="shared" si="2"/>
        <v>High Margin</v>
      </c>
      <c r="M13" s="41" t="str">
        <f t="shared" si="3"/>
        <v>Bulk-offer loyalty discount</v>
      </c>
    </row>
    <row r="14" spans="2:13" ht="15" customHeight="1" x14ac:dyDescent="0.3">
      <c r="B14" s="42" t="s">
        <v>46</v>
      </c>
      <c r="C14" s="15" t="s">
        <v>48</v>
      </c>
      <c r="D14" s="14" t="s">
        <v>27</v>
      </c>
      <c r="E14" s="16">
        <v>2</v>
      </c>
      <c r="F14" s="39" t="str">
        <f>IFERROR(VLOOKUP(D14,'Product Catalogue'!$B$4:$C$10,2,0),"Not Found")</f>
        <v>Laptop Pro 14</v>
      </c>
      <c r="G14" s="39">
        <f>IFERROR(VLOOKUP(D14,'Product Catalogue'!$B$4:$E$10,4,0),"Not Found")</f>
        <v>62000</v>
      </c>
      <c r="H14" s="39">
        <f>IFERROR(VLOOKUP(D14,'Product Catalogue'!$B$4:$F$10,5,0),"Not Found")</f>
        <v>42000</v>
      </c>
      <c r="I14" s="17">
        <v>0.12</v>
      </c>
      <c r="J14" s="72">
        <f t="shared" si="0"/>
        <v>109120</v>
      </c>
      <c r="K14" s="40">
        <f t="shared" si="1"/>
        <v>25120</v>
      </c>
      <c r="L14" s="41" t="str">
        <f t="shared" si="2"/>
        <v>Low Margin</v>
      </c>
      <c r="M14" s="41" t="str">
        <f t="shared" si="3"/>
        <v>Standard</v>
      </c>
    </row>
    <row r="15" spans="2:13" ht="15" customHeight="1" x14ac:dyDescent="0.3">
      <c r="B15" s="38" t="s">
        <v>49</v>
      </c>
      <c r="C15" s="6" t="s">
        <v>51</v>
      </c>
      <c r="D15" s="5" t="s">
        <v>31</v>
      </c>
      <c r="E15" s="7">
        <v>7</v>
      </c>
      <c r="F15" s="39" t="str">
        <f>IFERROR(VLOOKUP(D15,'Product Catalogue'!$B$4:$C$10,2,0),"Not Found")</f>
        <v>Yoga Mat Premium</v>
      </c>
      <c r="G15" s="39">
        <f>IFERROR(VLOOKUP(D15,'Product Catalogue'!$B$4:$E$10,4,0),"Not Found")</f>
        <v>1200</v>
      </c>
      <c r="H15" s="39">
        <f>IFERROR(VLOOKUP(D15,'Product Catalogue'!$B$4:$F$10,5,0),"Not Found")</f>
        <v>550</v>
      </c>
      <c r="I15" s="8">
        <v>0.05</v>
      </c>
      <c r="J15" s="72">
        <f t="shared" si="0"/>
        <v>7980</v>
      </c>
      <c r="K15" s="40">
        <f t="shared" si="1"/>
        <v>4130</v>
      </c>
      <c r="L15" s="41" t="str">
        <f t="shared" si="2"/>
        <v>High Margin</v>
      </c>
      <c r="M15" s="41" t="str">
        <f t="shared" si="3"/>
        <v>Premium-upsell</v>
      </c>
    </row>
    <row r="16" spans="2:13" ht="15" customHeight="1" x14ac:dyDescent="0.3">
      <c r="B16" s="42" t="s">
        <v>52</v>
      </c>
      <c r="C16" s="15" t="s">
        <v>54</v>
      </c>
      <c r="D16" s="14" t="s">
        <v>39</v>
      </c>
      <c r="E16" s="16">
        <v>5</v>
      </c>
      <c r="F16" s="39" t="str">
        <f>IFERROR(VLOOKUP(D16,'Product Catalogue'!$B$4:$C$10,2,0),"Not Found")</f>
        <v>Protein Powder 2kg</v>
      </c>
      <c r="G16" s="39">
        <f>IFERROR(VLOOKUP(D16,'Product Catalogue'!$B$4:$E$10,4,0),"Not Found")</f>
        <v>2200</v>
      </c>
      <c r="H16" s="39">
        <f>IFERROR(VLOOKUP(D16,'Product Catalogue'!$B$4:$F$10,5,0),"Not Found")</f>
        <v>1100</v>
      </c>
      <c r="I16" s="17">
        <v>0</v>
      </c>
      <c r="J16" s="72">
        <f t="shared" si="0"/>
        <v>11000</v>
      </c>
      <c r="K16" s="40">
        <f t="shared" si="1"/>
        <v>5500</v>
      </c>
      <c r="L16" s="41" t="str">
        <f t="shared" si="2"/>
        <v>High Margin</v>
      </c>
      <c r="M16" s="41" t="str">
        <f t="shared" si="3"/>
        <v>Premium-upsell</v>
      </c>
    </row>
    <row r="17" spans="2:13" ht="15" customHeight="1" x14ac:dyDescent="0.3">
      <c r="B17" s="38" t="s">
        <v>56</v>
      </c>
      <c r="C17" s="6" t="s">
        <v>58</v>
      </c>
      <c r="D17" s="5" t="s">
        <v>13</v>
      </c>
      <c r="E17" s="7">
        <v>2</v>
      </c>
      <c r="F17" s="39" t="str">
        <f>IFERROR(VLOOKUP(D17,'Product Catalogue'!$B$4:$C$10,2,0),"Not Found")</f>
        <v>Smart TV 55"</v>
      </c>
      <c r="G17" s="39">
        <f>IFERROR(VLOOKUP(D17,'Product Catalogue'!$B$4:$E$10,4,0),"Not Found")</f>
        <v>28500</v>
      </c>
      <c r="H17" s="39">
        <f>IFERROR(VLOOKUP(D17,'Product Catalogue'!$B$4:$F$10,5,0),"Not Found")</f>
        <v>19000</v>
      </c>
      <c r="I17" s="8">
        <v>0.1</v>
      </c>
      <c r="J17" s="72">
        <f t="shared" si="0"/>
        <v>51300</v>
      </c>
      <c r="K17" s="40">
        <f t="shared" si="1"/>
        <v>13300</v>
      </c>
      <c r="L17" s="41" t="str">
        <f t="shared" si="2"/>
        <v>Mid Margin</v>
      </c>
      <c r="M17" s="41" t="str">
        <f t="shared" si="3"/>
        <v>Standard</v>
      </c>
    </row>
    <row r="18" spans="2:13" ht="15" customHeight="1" x14ac:dyDescent="0.3">
      <c r="B18" s="42" t="s">
        <v>59</v>
      </c>
      <c r="C18" s="15" t="s">
        <v>61</v>
      </c>
      <c r="D18" s="14" t="s">
        <v>17</v>
      </c>
      <c r="E18" s="16">
        <v>9</v>
      </c>
      <c r="F18" s="39" t="str">
        <f>IFERROR(VLOOKUP(D18,'Product Catalogue'!$B$4:$C$10,2,0),"Not Found")</f>
        <v>Air Fryer XL</v>
      </c>
      <c r="G18" s="39">
        <f>IFERROR(VLOOKUP(D18,'Product Catalogue'!$B$4:$E$10,4,0),"Not Found")</f>
        <v>4200</v>
      </c>
      <c r="H18" s="39">
        <f>IFERROR(VLOOKUP(D18,'Product Catalogue'!$B$4:$F$10,5,0),"Not Found")</f>
        <v>2600</v>
      </c>
      <c r="I18" s="17">
        <v>0.05</v>
      </c>
      <c r="J18" s="72">
        <f t="shared" si="0"/>
        <v>35910</v>
      </c>
      <c r="K18" s="40">
        <f t="shared" si="1"/>
        <v>12510</v>
      </c>
      <c r="L18" s="41" t="str">
        <f t="shared" si="2"/>
        <v>Mid Margin</v>
      </c>
      <c r="M18" s="41" t="str">
        <f t="shared" si="3"/>
        <v>Bulk-offer loyalty discount</v>
      </c>
    </row>
    <row r="19" spans="2:13" ht="15" customHeight="1" x14ac:dyDescent="0.3">
      <c r="B19" s="38" t="s">
        <v>62</v>
      </c>
      <c r="C19" s="6" t="s">
        <v>12</v>
      </c>
      <c r="D19" s="5" t="s">
        <v>22</v>
      </c>
      <c r="E19" s="7">
        <v>4</v>
      </c>
      <c r="F19" s="39" t="str">
        <f>IFERROR(VLOOKUP(D19,'Product Catalogue'!$B$4:$C$10,2,0),"Not Found")</f>
        <v>Running Shoes M</v>
      </c>
      <c r="G19" s="39">
        <f>IFERROR(VLOOKUP(D19,'Product Catalogue'!$B$4:$E$10,4,0),"Not Found")</f>
        <v>2800</v>
      </c>
      <c r="H19" s="39">
        <f>IFERROR(VLOOKUP(D19,'Product Catalogue'!$B$4:$F$10,5,0),"Not Found")</f>
        <v>1500</v>
      </c>
      <c r="I19" s="8">
        <v>0</v>
      </c>
      <c r="J19" s="72">
        <f t="shared" si="0"/>
        <v>11200</v>
      </c>
      <c r="K19" s="40">
        <f t="shared" si="1"/>
        <v>5200</v>
      </c>
      <c r="L19" s="41" t="str">
        <f t="shared" si="2"/>
        <v>High Margin</v>
      </c>
      <c r="M19" s="41" t="str">
        <f t="shared" si="3"/>
        <v>Premium-upsell</v>
      </c>
    </row>
    <row r="20" spans="2:13" ht="15" customHeight="1" x14ac:dyDescent="0.3">
      <c r="B20" s="42" t="s">
        <v>64</v>
      </c>
      <c r="C20" s="15" t="s">
        <v>16</v>
      </c>
      <c r="D20" s="14" t="s">
        <v>27</v>
      </c>
      <c r="E20" s="16">
        <v>1</v>
      </c>
      <c r="F20" s="39" t="str">
        <f>IFERROR(VLOOKUP(D20,'Product Catalogue'!$B$4:$C$10,2,0),"Not Found")</f>
        <v>Laptop Pro 14</v>
      </c>
      <c r="G20" s="39">
        <f>IFERROR(VLOOKUP(D20,'Product Catalogue'!$B$4:$E$10,4,0),"Not Found")</f>
        <v>62000</v>
      </c>
      <c r="H20" s="39">
        <f>IFERROR(VLOOKUP(D20,'Product Catalogue'!$B$4:$F$10,5,0),"Not Found")</f>
        <v>42000</v>
      </c>
      <c r="I20" s="17">
        <v>0.15</v>
      </c>
      <c r="J20" s="72">
        <f t="shared" si="0"/>
        <v>52700</v>
      </c>
      <c r="K20" s="40">
        <f t="shared" si="1"/>
        <v>10700</v>
      </c>
      <c r="L20" s="41" t="str">
        <f t="shared" si="2"/>
        <v>Low Margin</v>
      </c>
      <c r="M20" s="41" t="str">
        <f t="shared" si="3"/>
        <v>Standard</v>
      </c>
    </row>
    <row r="21" spans="2:13" ht="15" customHeight="1" x14ac:dyDescent="0.3">
      <c r="B21" s="38" t="s">
        <v>66</v>
      </c>
      <c r="C21" s="6" t="s">
        <v>21</v>
      </c>
      <c r="D21" s="5" t="s">
        <v>31</v>
      </c>
      <c r="E21" s="7">
        <v>8</v>
      </c>
      <c r="F21" s="39" t="str">
        <f>IFERROR(VLOOKUP(D21,'Product Catalogue'!$B$4:$C$10,2,0),"Not Found")</f>
        <v>Yoga Mat Premium</v>
      </c>
      <c r="G21" s="39">
        <f>IFERROR(VLOOKUP(D21,'Product Catalogue'!$B$4:$E$10,4,0),"Not Found")</f>
        <v>1200</v>
      </c>
      <c r="H21" s="39">
        <f>IFERROR(VLOOKUP(D21,'Product Catalogue'!$B$4:$F$10,5,0),"Not Found")</f>
        <v>550</v>
      </c>
      <c r="I21" s="8">
        <v>0.05</v>
      </c>
      <c r="J21" s="72">
        <f t="shared" si="0"/>
        <v>9120</v>
      </c>
      <c r="K21" s="40">
        <f t="shared" si="1"/>
        <v>4720</v>
      </c>
      <c r="L21" s="41" t="str">
        <f t="shared" si="2"/>
        <v>High Margin</v>
      </c>
      <c r="M21" s="41" t="str">
        <f t="shared" si="3"/>
        <v>Bulk-offer loyalty discount</v>
      </c>
    </row>
    <row r="22" spans="2:13" ht="15" customHeight="1" x14ac:dyDescent="0.3">
      <c r="B22" s="42" t="s">
        <v>68</v>
      </c>
      <c r="C22" s="43" t="s">
        <v>132</v>
      </c>
      <c r="D22" s="14" t="s">
        <v>39</v>
      </c>
      <c r="E22" s="16">
        <v>3</v>
      </c>
      <c r="F22" s="39" t="str">
        <f>IFERROR(VLOOKUP(D22,'Product Catalogue'!$B$4:$C$10,2,0),"Not Found")</f>
        <v>Protein Powder 2kg</v>
      </c>
      <c r="G22" s="39">
        <f>IFERROR(VLOOKUP(D22,'Product Catalogue'!$B$4:$E$10,4,0),"Not Found")</f>
        <v>2200</v>
      </c>
      <c r="H22" s="39">
        <f>IFERROR(VLOOKUP(D22,'Product Catalogue'!$B$4:$F$10,5,0),"Not Found")</f>
        <v>1100</v>
      </c>
      <c r="I22" s="17">
        <v>0.1</v>
      </c>
      <c r="J22" s="72">
        <f t="shared" si="0"/>
        <v>5940</v>
      </c>
      <c r="K22" s="40">
        <f t="shared" si="1"/>
        <v>2640</v>
      </c>
      <c r="L22" s="41" t="str">
        <f t="shared" si="2"/>
        <v>High Margin</v>
      </c>
      <c r="M22" s="41" t="str">
        <f t="shared" si="3"/>
        <v>Premium-upsell</v>
      </c>
    </row>
    <row r="23" spans="2:13" ht="15" customHeight="1" x14ac:dyDescent="0.3">
      <c r="B23" s="38" t="s">
        <v>70</v>
      </c>
      <c r="C23" s="6" t="s">
        <v>35</v>
      </c>
      <c r="D23" s="5" t="s">
        <v>13</v>
      </c>
      <c r="E23" s="7">
        <v>6</v>
      </c>
      <c r="F23" s="39" t="str">
        <f>IFERROR(VLOOKUP(D23,'Product Catalogue'!$B$4:$C$10,2,0),"Not Found")</f>
        <v>Smart TV 55"</v>
      </c>
      <c r="G23" s="39">
        <f>IFERROR(VLOOKUP(D23,'Product Catalogue'!$B$4:$E$10,4,0),"Not Found")</f>
        <v>28500</v>
      </c>
      <c r="H23" s="39">
        <f>IFERROR(VLOOKUP(D23,'Product Catalogue'!$B$4:$F$10,5,0),"Not Found")</f>
        <v>19000</v>
      </c>
      <c r="I23" s="8">
        <v>0.08</v>
      </c>
      <c r="J23" s="72">
        <f t="shared" si="0"/>
        <v>157320</v>
      </c>
      <c r="K23" s="40">
        <f t="shared" si="1"/>
        <v>43320</v>
      </c>
      <c r="L23" s="41" t="str">
        <f t="shared" si="2"/>
        <v>Mid Margin</v>
      </c>
      <c r="M23" s="41" t="str">
        <f t="shared" si="3"/>
        <v>Standard</v>
      </c>
    </row>
    <row r="24" spans="2:13" ht="15" customHeight="1" x14ac:dyDescent="0.3">
      <c r="B24" s="42" t="s">
        <v>72</v>
      </c>
      <c r="C24" s="15" t="s">
        <v>38</v>
      </c>
      <c r="D24" s="14" t="s">
        <v>17</v>
      </c>
      <c r="E24" s="16">
        <v>4</v>
      </c>
      <c r="F24" s="39" t="str">
        <f>IFERROR(VLOOKUP(D24,'Product Catalogue'!$B$4:$C$10,2,0),"Not Found")</f>
        <v>Air Fryer XL</v>
      </c>
      <c r="G24" s="39">
        <f>IFERROR(VLOOKUP(D24,'Product Catalogue'!$B$4:$E$10,4,0),"Not Found")</f>
        <v>4200</v>
      </c>
      <c r="H24" s="39">
        <f>IFERROR(VLOOKUP(D24,'Product Catalogue'!$B$4:$F$10,5,0),"Not Found")</f>
        <v>2600</v>
      </c>
      <c r="I24" s="17">
        <v>0.05</v>
      </c>
      <c r="J24" s="72">
        <f t="shared" si="0"/>
        <v>15960</v>
      </c>
      <c r="K24" s="40">
        <f t="shared" si="1"/>
        <v>5560</v>
      </c>
      <c r="L24" s="41" t="str">
        <f t="shared" si="2"/>
        <v>Mid Margin</v>
      </c>
      <c r="M24" s="41" t="str">
        <f t="shared" si="3"/>
        <v>Standard</v>
      </c>
    </row>
    <row r="27" spans="2:13" ht="21.75" customHeight="1" x14ac:dyDescent="0.3">
      <c r="B27" s="75" t="s">
        <v>133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</row>
    <row r="28" spans="2:13" ht="21.75" customHeight="1" x14ac:dyDescent="0.3">
      <c r="B28" s="76" t="s">
        <v>134</v>
      </c>
      <c r="C28" s="76"/>
      <c r="D28" s="76"/>
      <c r="E28" s="76"/>
      <c r="F28" s="76"/>
      <c r="G28" s="76"/>
      <c r="H28" s="76"/>
      <c r="I28" s="77">
        <f>SUM(J5:J24)</f>
        <v>867132</v>
      </c>
      <c r="J28" s="77"/>
      <c r="K28" s="77"/>
      <c r="L28" s="77"/>
      <c r="M28" s="77"/>
    </row>
    <row r="29" spans="2:13" ht="21.75" customHeight="1" x14ac:dyDescent="0.3">
      <c r="B29" s="78" t="s">
        <v>135</v>
      </c>
      <c r="C29" s="78"/>
      <c r="D29" s="78"/>
      <c r="E29" s="78"/>
      <c r="F29" s="78"/>
      <c r="G29" s="78"/>
      <c r="H29" s="78"/>
      <c r="I29" s="77">
        <f>SUM(K5:K24)</f>
        <v>244582</v>
      </c>
      <c r="J29" s="77"/>
      <c r="K29" s="77"/>
      <c r="L29" s="77"/>
      <c r="M29" s="77"/>
    </row>
    <row r="30" spans="2:13" ht="21.75" customHeight="1" x14ac:dyDescent="0.3">
      <c r="B30" s="76" t="s">
        <v>136</v>
      </c>
      <c r="C30" s="76"/>
      <c r="D30" s="76"/>
      <c r="E30" s="76"/>
      <c r="F30" s="76"/>
      <c r="G30" s="76"/>
      <c r="H30" s="76"/>
      <c r="I30" s="79">
        <f>AVERAGE(I5:I24)</f>
        <v>6.4000000000000015E-2</v>
      </c>
      <c r="J30" s="79"/>
      <c r="K30" s="79"/>
      <c r="L30" s="79"/>
      <c r="M30" s="79"/>
    </row>
    <row r="31" spans="2:13" ht="21.75" customHeight="1" x14ac:dyDescent="0.3">
      <c r="B31" s="78" t="s">
        <v>137</v>
      </c>
      <c r="C31" s="78"/>
      <c r="D31" s="78"/>
      <c r="E31" s="78"/>
      <c r="F31" s="78"/>
      <c r="G31" s="78"/>
      <c r="H31" s="78"/>
      <c r="I31" s="77">
        <f>MAX(J5:J24)</f>
        <v>158100</v>
      </c>
      <c r="J31" s="77"/>
      <c r="K31" s="77"/>
      <c r="L31" s="77"/>
      <c r="M31" s="77"/>
    </row>
    <row r="32" spans="2:13" ht="21.75" customHeight="1" x14ac:dyDescent="0.3">
      <c r="B32" s="76" t="s">
        <v>138</v>
      </c>
      <c r="C32" s="76"/>
      <c r="D32" s="76"/>
      <c r="E32" s="76"/>
      <c r="F32" s="76"/>
      <c r="G32" s="76"/>
      <c r="H32" s="76"/>
      <c r="I32" s="80">
        <f>COUNTIF(L5:L24,"High Margin")</f>
        <v>9</v>
      </c>
      <c r="J32" s="80"/>
      <c r="K32" s="80"/>
      <c r="L32" s="80"/>
      <c r="M32" s="80"/>
    </row>
    <row r="33" spans="2:13" ht="21.75" customHeight="1" x14ac:dyDescent="0.3">
      <c r="B33" s="78" t="s">
        <v>139</v>
      </c>
      <c r="C33" s="78"/>
      <c r="D33" s="78"/>
      <c r="E33" s="78"/>
      <c r="F33" s="78"/>
      <c r="G33" s="78"/>
      <c r="H33" s="78"/>
      <c r="I33" s="80">
        <f>COUNTIF(L5:L24,"Low Margin")</f>
        <v>3</v>
      </c>
      <c r="J33" s="80"/>
      <c r="K33" s="80"/>
      <c r="L33" s="80"/>
      <c r="M33" s="80"/>
    </row>
    <row r="35" spans="2:13" ht="21.75" customHeight="1" x14ac:dyDescent="0.3">
      <c r="B35" s="81" t="s">
        <v>140</v>
      </c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</row>
    <row r="36" spans="2:13" ht="27.75" customHeight="1" x14ac:dyDescent="0.3">
      <c r="B36" s="82" t="s">
        <v>202</v>
      </c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</row>
    <row r="37" spans="2:13" ht="27.75" customHeight="1" x14ac:dyDescent="0.3">
      <c r="B37" s="84" t="s">
        <v>203</v>
      </c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</row>
    <row r="38" spans="2:13" ht="27.75" customHeight="1" x14ac:dyDescent="0.3">
      <c r="B38" s="82" t="s">
        <v>204</v>
      </c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</row>
    <row r="39" spans="2:13" ht="27.75" customHeight="1" x14ac:dyDescent="0.3">
      <c r="B39" s="84" t="s">
        <v>205</v>
      </c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</row>
    <row r="40" spans="2:13" ht="27.75" customHeight="1" x14ac:dyDescent="0.3">
      <c r="B40" s="83" t="s">
        <v>206</v>
      </c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</row>
  </sheetData>
  <mergeCells count="21">
    <mergeCell ref="B36:M36"/>
    <mergeCell ref="B37:M37"/>
    <mergeCell ref="B38:M38"/>
    <mergeCell ref="B39:M39"/>
    <mergeCell ref="B40:M40"/>
    <mergeCell ref="B32:H32"/>
    <mergeCell ref="I32:M32"/>
    <mergeCell ref="B33:H33"/>
    <mergeCell ref="I33:M33"/>
    <mergeCell ref="B35:M35"/>
    <mergeCell ref="B29:H29"/>
    <mergeCell ref="I29:M29"/>
    <mergeCell ref="B30:H30"/>
    <mergeCell ref="I30:M30"/>
    <mergeCell ref="B31:H31"/>
    <mergeCell ref="I31:M31"/>
    <mergeCell ref="B2:M2"/>
    <mergeCell ref="B3:M3"/>
    <mergeCell ref="B27:M27"/>
    <mergeCell ref="B28:H28"/>
    <mergeCell ref="I28:M28"/>
  </mergeCells>
  <conditionalFormatting sqref="J5:J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24">
    <cfRule type="cellIs" dxfId="1" priority="1" operator="equal">
      <formula>"Low Margin"</formula>
    </cfRule>
    <cfRule type="cellIs" dxfId="0" priority="2" operator="equal">
      <formula>"High Margin"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6000"/>
  </sheetPr>
  <dimension ref="B1:E28"/>
  <sheetViews>
    <sheetView showGridLines="0" topLeftCell="A7" zoomScaleNormal="100" workbookViewId="0">
      <selection activeCell="C20" sqref="C20"/>
    </sheetView>
  </sheetViews>
  <sheetFormatPr defaultColWidth="8.6640625" defaultRowHeight="14.4" x14ac:dyDescent="0.3"/>
  <cols>
    <col min="1" max="1" width="3" customWidth="1"/>
    <col min="2" max="2" width="33.44140625" customWidth="1"/>
    <col min="3" max="3" width="16" customWidth="1"/>
    <col min="4" max="4" width="44" customWidth="1"/>
    <col min="5" max="5" width="16" customWidth="1"/>
    <col min="6" max="6" width="3" customWidth="1"/>
  </cols>
  <sheetData>
    <row r="1" spans="2:5" ht="7.5" customHeight="1" x14ac:dyDescent="0.3"/>
    <row r="2" spans="2:5" ht="36" customHeight="1" x14ac:dyDescent="0.3">
      <c r="B2" s="73" t="s">
        <v>141</v>
      </c>
      <c r="C2" s="73"/>
      <c r="D2" s="73"/>
      <c r="E2" s="73"/>
    </row>
    <row r="3" spans="2:5" ht="30" customHeight="1" x14ac:dyDescent="0.3">
      <c r="B3" s="2" t="s">
        <v>142</v>
      </c>
      <c r="C3" s="2" t="s">
        <v>143</v>
      </c>
      <c r="D3" s="2" t="s">
        <v>144</v>
      </c>
      <c r="E3" s="2" t="s">
        <v>145</v>
      </c>
    </row>
    <row r="4" spans="2:5" ht="39.75" customHeight="1" x14ac:dyDescent="0.3">
      <c r="B4" s="44" t="s">
        <v>146</v>
      </c>
      <c r="C4" s="45" t="s">
        <v>147</v>
      </c>
      <c r="D4" s="3" t="s">
        <v>148</v>
      </c>
      <c r="E4" s="46" t="s">
        <v>149</v>
      </c>
    </row>
    <row r="5" spans="2:5" ht="39.75" customHeight="1" x14ac:dyDescent="0.3">
      <c r="B5" s="1" t="s">
        <v>150</v>
      </c>
      <c r="C5" s="47" t="s">
        <v>151</v>
      </c>
      <c r="D5" s="48" t="s">
        <v>152</v>
      </c>
      <c r="E5" s="49" t="s">
        <v>153</v>
      </c>
    </row>
    <row r="6" spans="2:5" ht="39.75" customHeight="1" x14ac:dyDescent="0.3">
      <c r="B6" s="44" t="s">
        <v>154</v>
      </c>
      <c r="C6" s="45" t="s">
        <v>151</v>
      </c>
      <c r="D6" s="3" t="s">
        <v>155</v>
      </c>
      <c r="E6" s="46" t="s">
        <v>149</v>
      </c>
    </row>
    <row r="7" spans="2:5" ht="39.75" customHeight="1" x14ac:dyDescent="0.3">
      <c r="B7" s="1" t="s">
        <v>156</v>
      </c>
      <c r="C7" s="47" t="s">
        <v>157</v>
      </c>
      <c r="D7" s="48" t="s">
        <v>158</v>
      </c>
      <c r="E7" s="49" t="s">
        <v>149</v>
      </c>
    </row>
    <row r="8" spans="2:5" ht="39.75" customHeight="1" x14ac:dyDescent="0.3">
      <c r="B8" s="44" t="s">
        <v>159</v>
      </c>
      <c r="C8" s="45" t="s">
        <v>157</v>
      </c>
      <c r="D8" s="3" t="s">
        <v>160</v>
      </c>
      <c r="E8" s="46" t="s">
        <v>161</v>
      </c>
    </row>
    <row r="9" spans="2:5" ht="39.75" customHeight="1" x14ac:dyDescent="0.3">
      <c r="B9" s="1" t="s">
        <v>162</v>
      </c>
      <c r="C9" s="47" t="s">
        <v>163</v>
      </c>
      <c r="D9" s="48" t="s">
        <v>164</v>
      </c>
      <c r="E9" s="49" t="s">
        <v>153</v>
      </c>
    </row>
    <row r="10" spans="2:5" ht="39.75" customHeight="1" x14ac:dyDescent="0.3">
      <c r="B10" s="44" t="s">
        <v>165</v>
      </c>
      <c r="C10" s="45" t="s">
        <v>166</v>
      </c>
      <c r="D10" s="3" t="s">
        <v>167</v>
      </c>
      <c r="E10" s="46" t="s">
        <v>161</v>
      </c>
    </row>
    <row r="11" spans="2:5" ht="39.75" customHeight="1" x14ac:dyDescent="0.3">
      <c r="B11" s="1" t="s">
        <v>168</v>
      </c>
      <c r="C11" s="47" t="s">
        <v>169</v>
      </c>
      <c r="D11" s="48" t="s">
        <v>170</v>
      </c>
      <c r="E11" s="49" t="s">
        <v>171</v>
      </c>
    </row>
    <row r="12" spans="2:5" ht="39.75" customHeight="1" x14ac:dyDescent="0.3">
      <c r="B12" s="44" t="s">
        <v>172</v>
      </c>
      <c r="C12" s="45" t="s">
        <v>173</v>
      </c>
      <c r="D12" s="3" t="s">
        <v>174</v>
      </c>
      <c r="E12" s="46" t="s">
        <v>161</v>
      </c>
    </row>
    <row r="13" spans="2:5" ht="39.75" customHeight="1" x14ac:dyDescent="0.3">
      <c r="B13" s="50" t="s">
        <v>175</v>
      </c>
      <c r="C13" s="51" t="s">
        <v>176</v>
      </c>
      <c r="D13" s="52" t="s">
        <v>177</v>
      </c>
      <c r="E13" s="53" t="s">
        <v>178</v>
      </c>
    </row>
    <row r="14" spans="2:5" ht="27.75" customHeight="1" x14ac:dyDescent="0.3">
      <c r="B14" s="96" t="s">
        <v>179</v>
      </c>
      <c r="C14" s="96"/>
      <c r="D14" s="96"/>
      <c r="E14" s="54" t="s">
        <v>180</v>
      </c>
    </row>
    <row r="16" spans="2:5" ht="15" customHeight="1" x14ac:dyDescent="0.3">
      <c r="B16" s="75" t="s">
        <v>181</v>
      </c>
      <c r="C16" s="75"/>
      <c r="D16" s="75"/>
      <c r="E16" s="75"/>
    </row>
    <row r="17" spans="2:5" ht="24" customHeight="1" x14ac:dyDescent="0.3">
      <c r="B17" s="55" t="s">
        <v>182</v>
      </c>
      <c r="C17" s="55" t="s">
        <v>183</v>
      </c>
      <c r="D17" s="56" t="s">
        <v>184</v>
      </c>
      <c r="E17" s="57"/>
    </row>
    <row r="18" spans="2:5" ht="24" customHeight="1" x14ac:dyDescent="0.3">
      <c r="B18" s="58" t="s">
        <v>185</v>
      </c>
      <c r="C18" s="58" t="s">
        <v>186</v>
      </c>
      <c r="D18" s="59" t="s">
        <v>187</v>
      </c>
      <c r="E18" s="60"/>
    </row>
    <row r="19" spans="2:5" ht="24" customHeight="1" x14ac:dyDescent="0.3">
      <c r="B19" s="61" t="s">
        <v>188</v>
      </c>
      <c r="C19" s="61" t="s">
        <v>189</v>
      </c>
      <c r="D19" s="62" t="s">
        <v>190</v>
      </c>
      <c r="E19" s="22"/>
    </row>
    <row r="20" spans="2:5" ht="24" customHeight="1" x14ac:dyDescent="0.3">
      <c r="B20" s="63" t="s">
        <v>191</v>
      </c>
      <c r="C20" s="63" t="s">
        <v>192</v>
      </c>
      <c r="D20" s="64" t="s">
        <v>193</v>
      </c>
      <c r="E20" s="65"/>
    </row>
    <row r="22" spans="2:5" ht="24" customHeight="1" x14ac:dyDescent="0.3">
      <c r="B22" s="97" t="s">
        <v>194</v>
      </c>
      <c r="C22" s="97"/>
      <c r="D22" s="97"/>
      <c r="E22" s="97"/>
    </row>
    <row r="23" spans="2:5" ht="27.75" customHeight="1" x14ac:dyDescent="0.3">
      <c r="B23" s="92" t="s">
        <v>195</v>
      </c>
      <c r="C23" s="92"/>
      <c r="D23" s="92"/>
      <c r="E23" s="92"/>
    </row>
    <row r="24" spans="2:5" ht="27.75" customHeight="1" x14ac:dyDescent="0.3">
      <c r="B24" s="98" t="s">
        <v>196</v>
      </c>
      <c r="C24" s="98"/>
      <c r="D24" s="98"/>
      <c r="E24" s="98"/>
    </row>
    <row r="25" spans="2:5" ht="27.75" customHeight="1" x14ac:dyDescent="0.3">
      <c r="B25" s="92" t="s">
        <v>197</v>
      </c>
      <c r="C25" s="92"/>
      <c r="D25" s="92"/>
      <c r="E25" s="92"/>
    </row>
    <row r="26" spans="2:5" ht="27.75" customHeight="1" x14ac:dyDescent="0.3">
      <c r="B26" s="98" t="s">
        <v>198</v>
      </c>
      <c r="C26" s="98"/>
      <c r="D26" s="98"/>
      <c r="E26" s="98"/>
    </row>
    <row r="27" spans="2:5" ht="27.75" customHeight="1" x14ac:dyDescent="0.3">
      <c r="B27" s="92" t="s">
        <v>199</v>
      </c>
      <c r="C27" s="92"/>
      <c r="D27" s="92"/>
      <c r="E27" s="92"/>
    </row>
    <row r="28" spans="2:5" ht="27.75" customHeight="1" x14ac:dyDescent="0.3">
      <c r="B28" s="99" t="s">
        <v>200</v>
      </c>
      <c r="C28" s="99"/>
      <c r="D28" s="99"/>
      <c r="E28" s="99"/>
    </row>
  </sheetData>
  <mergeCells count="10">
    <mergeCell ref="B24:E24"/>
    <mergeCell ref="B25:E25"/>
    <mergeCell ref="B26:E26"/>
    <mergeCell ref="B27:E27"/>
    <mergeCell ref="B28:E28"/>
    <mergeCell ref="B2:E2"/>
    <mergeCell ref="B14:D14"/>
    <mergeCell ref="B16:E16"/>
    <mergeCell ref="B22:E22"/>
    <mergeCell ref="B23:E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Orders (Messy)</vt:lpstr>
      <vt:lpstr>Correct Sheet</vt:lpstr>
      <vt:lpstr>Product Catalogue</vt:lpstr>
      <vt:lpstr>Analysis (Your Work)</vt:lpstr>
      <vt:lpstr>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Deepanshu Garg</cp:lastModifiedBy>
  <cp:revision>0</cp:revision>
  <dcterms:created xsi:type="dcterms:W3CDTF">2026-04-01T13:27:21Z</dcterms:created>
  <dcterms:modified xsi:type="dcterms:W3CDTF">2026-04-02T05:55:30Z</dcterms:modified>
  <dc:language>en-US</dc:language>
</cp:coreProperties>
</file>