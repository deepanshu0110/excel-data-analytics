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0235E7ED-6A29-4FDC-927A-68439A1F82C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stomer Orders" sheetId="1" r:id="rId1"/>
    <sheet name="Price List" sheetId="2" r:id="rId2"/>
    <sheet name="Practice Guide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5" i="1"/>
  <c r="G6" i="1"/>
  <c r="G7" i="1"/>
  <c r="G8" i="1"/>
  <c r="G9" i="1"/>
  <c r="G10" i="1"/>
  <c r="G11" i="1"/>
  <c r="G12" i="1"/>
  <c r="G13" i="1"/>
  <c r="G14" i="1"/>
  <c r="G15" i="1"/>
  <c r="G16" i="1"/>
  <c r="G5" i="1"/>
  <c r="F6" i="1"/>
  <c r="F7" i="1"/>
  <c r="F8" i="1"/>
  <c r="F9" i="1"/>
  <c r="F10" i="1"/>
  <c r="F11" i="1"/>
  <c r="F12" i="1"/>
  <c r="F13" i="1"/>
  <c r="F14" i="1"/>
  <c r="F15" i="1"/>
  <c r="F16" i="1"/>
  <c r="F5" i="1"/>
  <c r="E5" i="1"/>
  <c r="E6" i="1"/>
  <c r="E7" i="1"/>
  <c r="E8" i="1"/>
  <c r="E9" i="1"/>
  <c r="E10" i="1"/>
  <c r="E11" i="1"/>
  <c r="E12" i="1"/>
  <c r="E13" i="1"/>
  <c r="E14" i="1"/>
  <c r="E15" i="1"/>
  <c r="E16" i="1"/>
  <c r="D17" i="1"/>
  <c r="F17" i="1" l="1"/>
</calcChain>
</file>

<file path=xl/sharedStrings.xml><?xml version="1.0" encoding="utf-8"?>
<sst xmlns="http://schemas.openxmlformats.org/spreadsheetml/2006/main" count="98" uniqueCount="85">
  <si>
    <t>Ludhiana Electronics Shop — Customer Orders (Day 3 Dataset)</t>
  </si>
  <si>
    <t>Task: use VLOOKUP to pull price from 'Price List' sheet, then calculate revenue per order</t>
  </si>
  <si>
    <t>Order ID</t>
  </si>
  <si>
    <t>Customer Name</t>
  </si>
  <si>
    <t>Product Purchased</t>
  </si>
  <si>
    <t>Qty</t>
  </si>
  <si>
    <t>Unit Price (₹)
[VLOOKUP this]</t>
  </si>
  <si>
    <t>Order Revenue (₹)
[calculate]</t>
  </si>
  <si>
    <t>Revenue Rank
[RANK]</t>
  </si>
  <si>
    <t>Customer Segment
[IF]</t>
  </si>
  <si>
    <t>ORD-001</t>
  </si>
  <si>
    <t>Priya Sharma</t>
  </si>
  <si>
    <t>Earphones</t>
  </si>
  <si>
    <t>ORD-002</t>
  </si>
  <si>
    <t>Rahul Mehta</t>
  </si>
  <si>
    <t>USB Cable</t>
  </si>
  <si>
    <t>ORD-003</t>
  </si>
  <si>
    <t>Anita Verma</t>
  </si>
  <si>
    <t>Mobile Cover</t>
  </si>
  <si>
    <t>ORD-004</t>
  </si>
  <si>
    <t>Suresh Patel</t>
  </si>
  <si>
    <t>Phone Stand</t>
  </si>
  <si>
    <t>ORD-005</t>
  </si>
  <si>
    <t>Deepika Singh</t>
  </si>
  <si>
    <t>Screen Guard</t>
  </si>
  <si>
    <t>ORD-006</t>
  </si>
  <si>
    <t>Arjun Nair</t>
  </si>
  <si>
    <t>ORD-007</t>
  </si>
  <si>
    <t>Kavya Reddy</t>
  </si>
  <si>
    <t>ORD-008</t>
  </si>
  <si>
    <t>Mohit Gupta</t>
  </si>
  <si>
    <t>ORD-009</t>
  </si>
  <si>
    <t>Sneha Joshi</t>
  </si>
  <si>
    <t>ORD-010</t>
  </si>
  <si>
    <t>Vikram Bose</t>
  </si>
  <si>
    <t>ORD-011</t>
  </si>
  <si>
    <t>Pooja Iyer</t>
  </si>
  <si>
    <t>ORD-012</t>
  </si>
  <si>
    <t>Rohan Das</t>
  </si>
  <si>
    <t>TOTAL</t>
  </si>
  <si>
    <t>Your business recommendation (write after completing all steps):</t>
  </si>
  <si>
    <t>Product Price List — Source of Truth</t>
  </si>
  <si>
    <t>VLOOKUP will look here. Do NOT change column order.</t>
  </si>
  <si>
    <t>Product Name</t>
  </si>
  <si>
    <t>Unit Price (₹)</t>
  </si>
  <si>
    <t>Category</t>
  </si>
  <si>
    <t>Audio</t>
  </si>
  <si>
    <t>Accessories</t>
  </si>
  <si>
    <t>Protection</t>
  </si>
  <si>
    <t>Stand</t>
  </si>
  <si>
    <t>This is your VLOOKUP table_array: 'Price List'!$A$5:$B$9</t>
  </si>
  <si>
    <t>Column 1 = Product Name (this is what VLOOKUP searches)
Column 2 = Unit Price  (this is col_index_num = 2)
Always lock the range with $ so it doesn't shift when you drag.</t>
  </si>
  <si>
    <t>Day 3 — Step-by-Step Practice Guide</t>
  </si>
  <si>
    <t>#</t>
  </si>
  <si>
    <t>Step</t>
  </si>
  <si>
    <t>Formula / Action</t>
  </si>
  <si>
    <t>Why this matters</t>
  </si>
  <si>
    <t>1</t>
  </si>
  <si>
    <t>VLOOKUP
Unit Price</t>
  </si>
  <si>
    <t>In 'Customer Orders' sheet, cell E5:
=VLOOKUP(C5,'Price List'!$A$5:$B$9,2,0)
Then drag down to E16.</t>
  </si>
  <si>
    <t>C5 = what you're looking up (product name)
'Price List'!$A$5:$B$9 = where to look (locked with $)
2 = bring back column 2 (price)
0 = exact match only — NEVER use 1 here for text lookups
Result: Excel goes to Price List, finds the product, returns its price.</t>
  </si>
  <si>
    <t>2</t>
  </si>
  <si>
    <t>Order Revenue</t>
  </si>
  <si>
    <t>In cell F5:
=D5*E5
Drag down to F16.
Then check: does F17 total make sense?</t>
  </si>
  <si>
    <t>Qty × Unit Price = Order Revenue.
This only works AFTER step 1 — E column must have prices first.
Always sanity-check: total revenue should be between ₹5,000–₹15,000
given the quantities in this dataset.</t>
  </si>
  <si>
    <t>3</t>
  </si>
  <si>
    <t>Revenue Rank</t>
  </si>
  <si>
    <t>In cell G5:
=RANK(F5,$F$5:$F$16,0)
Drag down to G16.</t>
  </si>
  <si>
    <t>Same RANK formula as Day 1 and Day 2.
Now you're ranking orders, not products.
Rank 1 = highest revenue order.
You should have 12 unique ranks (one per order).</t>
  </si>
  <si>
    <t>4</t>
  </si>
  <si>
    <t>Customer
Segment IF</t>
  </si>
  <si>
    <t>In cell H5:
=IF(F5&gt;=$F$17*0.15,"High Value",IF(F5&gt;=$F$17*0.08,"Medium","Standard"))
Drag down to H16.</t>
  </si>
  <si>
    <t>This labels each order based on its share of total revenue.
≥15% of total = High Value customer
≥8% of total  = Medium customer
Below 8%      = Standard
Notice: $F$17 is the total revenue cell (locked).
This is smarter than a fixed number — it adjusts if data changes.</t>
  </si>
  <si>
    <t>5</t>
  </si>
  <si>
    <t>Recommendation</t>
  </si>
  <si>
    <t>In 'Customer Orders' sheet, cell A20:
Use this template:
"[Customer] is the highest-value order at ₹[X] ([Y]% of total).
[Product] is driving most high-value orders.
Recommend [action] to protect/grow this revenue."</t>
  </si>
  <si>
    <t>Day 1: named best/worst.
Day 2: added % and risk.
Day 3: now you have customer-level insight + product link.
This is the progression from data reporter to data analyst.</t>
  </si>
  <si>
    <t>VLOOKUP anatomy — memorise this structure</t>
  </si>
  <si>
    <t>VLOOKUP( C5 ,  'Price List'!$A$5:$B$9 ,  2 ,  0 )   ← full formula structure</t>
  </si>
  <si>
    <t>What to look for
(product name in
this order)</t>
  </si>
  <si>
    <t>Where to look
(locked price list
table)</t>
  </si>
  <si>
    <t>Which column
to return
(2 = price column)</t>
  </si>
  <si>
    <t>Match type
(0 = exact match
ALWAYS use 0)</t>
  </si>
  <si>
    <t>COMMON MISTAKE: forgetting the $ in the table array. Without $A$5:$B$9 the range shifts when you drag the formula down and every row after the first returns wrong prices or errors. Always lock the lookup table.</t>
  </si>
  <si>
    <t>Priya Sharma is our highest value customer at Rs.1197.Earphones are our most high- value orders.Recommend to stock them in advance to grow this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</si>
</sst>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color rgb="FF2E75B6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1"/>
      <color rgb="FF7F6000"/>
      <name val="Arial"/>
      <charset val="1"/>
    </font>
    <font>
      <b/>
      <sz val="10"/>
      <color rgb="FF833C0B"/>
      <name val="Arial"/>
      <charset val="1"/>
    </font>
    <font>
      <b/>
      <sz val="11"/>
      <color rgb="FF2E5EAA"/>
      <name val="Arial"/>
      <charset val="1"/>
    </font>
    <font>
      <sz val="11"/>
      <color rgb="FF555555"/>
      <name val="Arial"/>
      <charset val="1"/>
    </font>
    <font>
      <b/>
      <sz val="10"/>
      <color rgb="FF7F6000"/>
      <name val="Arial"/>
      <charset val="1"/>
    </font>
    <font>
      <sz val="10"/>
      <color rgb="FF1F3864"/>
      <name val="Arial"/>
      <charset val="1"/>
    </font>
    <font>
      <b/>
      <sz val="14"/>
      <color rgb="FFFFFFFF"/>
      <name val="Arial"/>
      <charset val="1"/>
    </font>
    <font>
      <b/>
      <sz val="16"/>
      <color rgb="FFFFFFFF"/>
      <name val="Arial"/>
      <charset val="1"/>
    </font>
    <font>
      <sz val="10"/>
      <color rgb="FF444444"/>
      <name val="Arial"/>
      <charset val="1"/>
    </font>
    <font>
      <b/>
      <sz val="11"/>
      <color rgb="FF3D1265"/>
      <name val="Courier New"/>
      <charset val="1"/>
    </font>
    <font>
      <sz val="10"/>
      <color rgb="FF3D1265"/>
      <name val="Arial"/>
      <charset val="1"/>
    </font>
    <font>
      <sz val="10"/>
      <color rgb="FF375623"/>
      <name val="Arial"/>
      <charset val="1"/>
    </font>
    <font>
      <sz val="10"/>
      <color rgb="FF833C0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D9E8F5"/>
        <bgColor rgb="FFEAE0F5"/>
      </patternFill>
    </fill>
    <fill>
      <patternFill patternType="solid">
        <fgColor rgb="FF2E5EAA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44444"/>
      </patternFill>
    </fill>
    <fill>
      <patternFill patternType="solid">
        <fgColor rgb="FF2E75B6"/>
        <bgColor rgb="FF2E5EAA"/>
      </patternFill>
    </fill>
    <fill>
      <patternFill patternType="solid">
        <fgColor rgb="FFE2EFDA"/>
        <bgColor rgb="FFD9E8F5"/>
      </patternFill>
    </fill>
    <fill>
      <patternFill patternType="solid">
        <fgColor rgb="FF5C2D91"/>
        <bgColor rgb="FF3D1265"/>
      </patternFill>
    </fill>
    <fill>
      <patternFill patternType="solid">
        <fgColor rgb="FFEAE0F5"/>
        <bgColor rgb="FFD9E8F5"/>
      </patternFill>
    </fill>
  </fills>
  <borders count="15">
    <border>
      <left/>
      <right/>
      <top/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375623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medium">
        <color rgb="FF375623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6" borderId="14" xfId="0" applyFont="1" applyFill="1" applyBorder="1" applyAlignment="1">
      <alignment horizontal="left" vertical="center" wrapText="1"/>
    </xf>
    <xf numFmtId="0" fontId="16" fillId="13" borderId="13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 wrapText="1"/>
    </xf>
    <xf numFmtId="0" fontId="14" fillId="9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14" fillId="4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3" fontId="5" fillId="7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3" fontId="3" fillId="2" borderId="6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 wrapText="1"/>
    </xf>
    <xf numFmtId="0" fontId="0" fillId="0" borderId="12" xfId="0" applyBorder="1"/>
    <xf numFmtId="0" fontId="15" fillId="7" borderId="4" xfId="0" applyFont="1" applyFill="1" applyBorder="1" applyAlignment="1">
      <alignment horizontal="left" vertical="top" wrapText="1"/>
    </xf>
    <xf numFmtId="0" fontId="0" fillId="0" borderId="11" xfId="0" applyBorder="1"/>
    <xf numFmtId="0" fontId="0" fillId="0" borderId="4" xfId="0" applyBorder="1"/>
    <xf numFmtId="0" fontId="2" fillId="11" borderId="4" xfId="0" applyFont="1" applyFill="1" applyBorder="1" applyAlignment="1">
      <alignment horizontal="left" vertical="top" wrapText="1"/>
    </xf>
    <xf numFmtId="0" fontId="17" fillId="13" borderId="11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8" fillId="11" borderId="4" xfId="0" applyFont="1" applyFill="1" applyBorder="1" applyAlignment="1">
      <alignment horizontal="center" vertical="top" wrapText="1"/>
    </xf>
    <xf numFmtId="0" fontId="19" fillId="8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3D1265"/>
      <rgbColor rgb="FFFF8080"/>
      <rgbColor rgb="FF2E5EAA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75623"/>
      <rgbColor rgb="FF833C0B"/>
      <rgbColor rgb="FF993366"/>
      <rgbColor rgb="FF5C2D9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zoomScaleNormal="100" workbookViewId="0">
      <pane ySplit="5" topLeftCell="A6" activePane="bottomLeft" state="frozen"/>
      <selection pane="bottomLeft" activeCell="A20" sqref="A20:H20"/>
    </sheetView>
  </sheetViews>
  <sheetFormatPr defaultColWidth="8.6640625" defaultRowHeight="14.4" x14ac:dyDescent="0.3"/>
  <cols>
    <col min="1" max="1" width="14" customWidth="1"/>
    <col min="2" max="2" width="22" customWidth="1"/>
    <col min="3" max="3" width="24" customWidth="1"/>
    <col min="4" max="4" width="10" customWidth="1"/>
    <col min="5" max="6" width="18" customWidth="1"/>
    <col min="7" max="7" width="20" customWidth="1"/>
    <col min="8" max="8" width="24" customWidth="1"/>
  </cols>
  <sheetData>
    <row r="1" spans="1:8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6" customHeight="1" x14ac:dyDescent="0.3"/>
    <row r="4" spans="1:8" ht="37.5" customHeight="1" x14ac:dyDescent="0.3">
      <c r="A4" s="15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7" t="s">
        <v>9</v>
      </c>
    </row>
    <row r="5" spans="1:8" ht="21.75" customHeight="1" x14ac:dyDescent="0.3">
      <c r="A5" s="18" t="s">
        <v>10</v>
      </c>
      <c r="B5" s="19" t="s">
        <v>11</v>
      </c>
      <c r="C5" s="20" t="s">
        <v>12</v>
      </c>
      <c r="D5" s="21">
        <v>3</v>
      </c>
      <c r="E5" s="22">
        <f>VLOOKUP(C5,'Price List'!$A$5:$B$9,2,0)</f>
        <v>399</v>
      </c>
      <c r="F5" s="22">
        <f>D5*E5</f>
        <v>1197</v>
      </c>
      <c r="G5" s="22">
        <f>RANK(F5,$F$5:$F$16,0)</f>
        <v>1</v>
      </c>
      <c r="H5" s="23" t="str">
        <f>IF('Customer Orders'!F5&gt;'Customer Orders'!$F$17*0.15,"High Value Customer",IF(F5&gt;='Customer Orders'!$F$17*0.08,"Medium Customer","Standard Customer"))</f>
        <v>High Value Customer</v>
      </c>
    </row>
    <row r="6" spans="1:8" ht="21.75" customHeight="1" x14ac:dyDescent="0.3">
      <c r="A6" s="24" t="s">
        <v>13</v>
      </c>
      <c r="B6" s="25" t="s">
        <v>14</v>
      </c>
      <c r="C6" s="26" t="s">
        <v>15</v>
      </c>
      <c r="D6" s="27">
        <v>5</v>
      </c>
      <c r="E6" s="22">
        <f>VLOOKUP(C6,'Price List'!$A$5:$B$9,2,0)</f>
        <v>99</v>
      </c>
      <c r="F6" s="22">
        <f t="shared" ref="F6:F16" si="0">D6*E6</f>
        <v>495</v>
      </c>
      <c r="G6" s="22">
        <f t="shared" ref="G6:G16" si="1">RANK(F6,$F$5:$F$16,0)</f>
        <v>7</v>
      </c>
      <c r="H6" s="23" t="str">
        <f>IF('Customer Orders'!F6&gt;'Customer Orders'!$F$17*0.15,"High Value Customer",IF(F6&gt;='Customer Orders'!$F$17*0.08,"Medium Customer","Standard Customer"))</f>
        <v>Standard Customer</v>
      </c>
    </row>
    <row r="7" spans="1:8" ht="21.75" customHeight="1" x14ac:dyDescent="0.3">
      <c r="A7" s="18" t="s">
        <v>16</v>
      </c>
      <c r="B7" s="19" t="s">
        <v>17</v>
      </c>
      <c r="C7" s="20" t="s">
        <v>18</v>
      </c>
      <c r="D7" s="21">
        <v>2</v>
      </c>
      <c r="E7" s="22">
        <f>VLOOKUP(C7,'Price List'!$A$5:$B$9,2,0)</f>
        <v>149</v>
      </c>
      <c r="F7" s="22">
        <f t="shared" si="0"/>
        <v>298</v>
      </c>
      <c r="G7" s="22">
        <f t="shared" si="1"/>
        <v>10</v>
      </c>
      <c r="H7" s="23" t="str">
        <f>IF('Customer Orders'!F7&gt;'Customer Orders'!$F$17*0.15,"High Value Customer",IF(F7&gt;='Customer Orders'!$F$17*0.08,"Medium Customer","Standard Customer"))</f>
        <v>Standard Customer</v>
      </c>
    </row>
    <row r="8" spans="1:8" ht="21.75" customHeight="1" x14ac:dyDescent="0.3">
      <c r="A8" s="24" t="s">
        <v>19</v>
      </c>
      <c r="B8" s="25" t="s">
        <v>20</v>
      </c>
      <c r="C8" s="26" t="s">
        <v>21</v>
      </c>
      <c r="D8" s="27">
        <v>1</v>
      </c>
      <c r="E8" s="22">
        <f>VLOOKUP(C8,'Price List'!$A$5:$B$9,2,0)</f>
        <v>249</v>
      </c>
      <c r="F8" s="22">
        <f t="shared" si="0"/>
        <v>249</v>
      </c>
      <c r="G8" s="22">
        <f t="shared" si="1"/>
        <v>11</v>
      </c>
      <c r="H8" s="23" t="str">
        <f>IF('Customer Orders'!F8&gt;'Customer Orders'!$F$17*0.15,"High Value Customer",IF(F8&gt;='Customer Orders'!$F$17*0.08,"Medium Customer","Standard Customer"))</f>
        <v>Standard Customer</v>
      </c>
    </row>
    <row r="9" spans="1:8" ht="21.75" customHeight="1" x14ac:dyDescent="0.3">
      <c r="A9" s="18" t="s">
        <v>22</v>
      </c>
      <c r="B9" s="19" t="s">
        <v>23</v>
      </c>
      <c r="C9" s="20" t="s">
        <v>24</v>
      </c>
      <c r="D9" s="21">
        <v>4</v>
      </c>
      <c r="E9" s="22">
        <f>VLOOKUP(C9,'Price List'!$A$5:$B$9,2,0)</f>
        <v>79</v>
      </c>
      <c r="F9" s="22">
        <f t="shared" si="0"/>
        <v>316</v>
      </c>
      <c r="G9" s="22">
        <f t="shared" si="1"/>
        <v>9</v>
      </c>
      <c r="H9" s="23" t="str">
        <f>IF('Customer Orders'!F9&gt;'Customer Orders'!$F$17*0.15,"High Value Customer",IF(F9&gt;='Customer Orders'!$F$17*0.08,"Medium Customer","Standard Customer"))</f>
        <v>Standard Customer</v>
      </c>
    </row>
    <row r="10" spans="1:8" ht="21.75" customHeight="1" x14ac:dyDescent="0.3">
      <c r="A10" s="24" t="s">
        <v>25</v>
      </c>
      <c r="B10" s="25" t="s">
        <v>26</v>
      </c>
      <c r="C10" s="26" t="s">
        <v>12</v>
      </c>
      <c r="D10" s="27">
        <v>2</v>
      </c>
      <c r="E10" s="22">
        <f>VLOOKUP(C10,'Price List'!$A$5:$B$9,2,0)</f>
        <v>399</v>
      </c>
      <c r="F10" s="22">
        <f t="shared" si="0"/>
        <v>798</v>
      </c>
      <c r="G10" s="22">
        <f t="shared" si="1"/>
        <v>4</v>
      </c>
      <c r="H10" s="23" t="str">
        <f>IF('Customer Orders'!F10&gt;'Customer Orders'!$F$17*0.15,"High Value Customer",IF(F10&gt;='Customer Orders'!$F$17*0.08,"Medium Customer","Standard Customer"))</f>
        <v>Medium Customer</v>
      </c>
    </row>
    <row r="11" spans="1:8" ht="21.75" customHeight="1" x14ac:dyDescent="0.3">
      <c r="A11" s="18" t="s">
        <v>27</v>
      </c>
      <c r="B11" s="19" t="s">
        <v>28</v>
      </c>
      <c r="C11" s="20" t="s">
        <v>15</v>
      </c>
      <c r="D11" s="21">
        <v>8</v>
      </c>
      <c r="E11" s="22">
        <f>VLOOKUP(C11,'Price List'!$A$5:$B$9,2,0)</f>
        <v>99</v>
      </c>
      <c r="F11" s="22">
        <f t="shared" si="0"/>
        <v>792</v>
      </c>
      <c r="G11" s="22">
        <f t="shared" si="1"/>
        <v>5</v>
      </c>
      <c r="H11" s="23" t="str">
        <f>IF('Customer Orders'!F11&gt;'Customer Orders'!$F$17*0.15,"High Value Customer",IF(F11&gt;='Customer Orders'!$F$17*0.08,"Medium Customer","Standard Customer"))</f>
        <v>Medium Customer</v>
      </c>
    </row>
    <row r="12" spans="1:8" ht="21.75" customHeight="1" x14ac:dyDescent="0.3">
      <c r="A12" s="24" t="s">
        <v>29</v>
      </c>
      <c r="B12" s="25" t="s">
        <v>30</v>
      </c>
      <c r="C12" s="26" t="s">
        <v>18</v>
      </c>
      <c r="D12" s="27">
        <v>6</v>
      </c>
      <c r="E12" s="22">
        <f>VLOOKUP(C12,'Price List'!$A$5:$B$9,2,0)</f>
        <v>149</v>
      </c>
      <c r="F12" s="22">
        <f t="shared" si="0"/>
        <v>894</v>
      </c>
      <c r="G12" s="22">
        <f t="shared" si="1"/>
        <v>3</v>
      </c>
      <c r="H12" s="23" t="str">
        <f>IF('Customer Orders'!F12&gt;'Customer Orders'!$F$17*0.15,"High Value Customer",IF(F12&gt;='Customer Orders'!$F$17*0.08,"Medium Customer","Standard Customer"))</f>
        <v>Medium Customer</v>
      </c>
    </row>
    <row r="13" spans="1:8" ht="21.75" customHeight="1" x14ac:dyDescent="0.3">
      <c r="A13" s="18" t="s">
        <v>31</v>
      </c>
      <c r="B13" s="19" t="s">
        <v>32</v>
      </c>
      <c r="C13" s="20" t="s">
        <v>21</v>
      </c>
      <c r="D13" s="21">
        <v>3</v>
      </c>
      <c r="E13" s="22">
        <f>VLOOKUP(C13,'Price List'!$A$5:$B$9,2,0)</f>
        <v>249</v>
      </c>
      <c r="F13" s="22">
        <f t="shared" si="0"/>
        <v>747</v>
      </c>
      <c r="G13" s="22">
        <f t="shared" si="1"/>
        <v>6</v>
      </c>
      <c r="H13" s="23" t="str">
        <f>IF('Customer Orders'!F13&gt;'Customer Orders'!$F$17*0.15,"High Value Customer",IF(F13&gt;='Customer Orders'!$F$17*0.08,"Medium Customer","Standard Customer"))</f>
        <v>Medium Customer</v>
      </c>
    </row>
    <row r="14" spans="1:8" ht="21.75" customHeight="1" x14ac:dyDescent="0.3">
      <c r="A14" s="24" t="s">
        <v>33</v>
      </c>
      <c r="B14" s="25" t="s">
        <v>34</v>
      </c>
      <c r="C14" s="26" t="s">
        <v>24</v>
      </c>
      <c r="D14" s="27">
        <v>2</v>
      </c>
      <c r="E14" s="22">
        <f>VLOOKUP(C14,'Price List'!$A$5:$B$9,2,0)</f>
        <v>79</v>
      </c>
      <c r="F14" s="22">
        <f t="shared" si="0"/>
        <v>158</v>
      </c>
      <c r="G14" s="22">
        <f t="shared" si="1"/>
        <v>12</v>
      </c>
      <c r="H14" s="23" t="str">
        <f>IF('Customer Orders'!F14&gt;'Customer Orders'!$F$17*0.15,"High Value Customer",IF(F14&gt;='Customer Orders'!$F$17*0.08,"Medium Customer","Standard Customer"))</f>
        <v>Standard Customer</v>
      </c>
    </row>
    <row r="15" spans="1:8" ht="21.75" customHeight="1" x14ac:dyDescent="0.3">
      <c r="A15" s="18" t="s">
        <v>35</v>
      </c>
      <c r="B15" s="19" t="s">
        <v>36</v>
      </c>
      <c r="C15" s="20" t="s">
        <v>12</v>
      </c>
      <c r="D15" s="21">
        <v>1</v>
      </c>
      <c r="E15" s="22">
        <f>VLOOKUP(C15,'Price List'!$A$5:$B$9,2,0)</f>
        <v>399</v>
      </c>
      <c r="F15" s="22">
        <f t="shared" si="0"/>
        <v>399</v>
      </c>
      <c r="G15" s="22">
        <f t="shared" si="1"/>
        <v>8</v>
      </c>
      <c r="H15" s="23" t="str">
        <f>IF('Customer Orders'!F15&gt;'Customer Orders'!$F$17*0.15,"High Value Customer",IF(F15&gt;='Customer Orders'!$F$17*0.08,"Medium Customer","Standard Customer"))</f>
        <v>Standard Customer</v>
      </c>
    </row>
    <row r="16" spans="1:8" ht="21.75" customHeight="1" x14ac:dyDescent="0.3">
      <c r="A16" s="24" t="s">
        <v>37</v>
      </c>
      <c r="B16" s="25" t="s">
        <v>38</v>
      </c>
      <c r="C16" s="26" t="s">
        <v>15</v>
      </c>
      <c r="D16" s="27">
        <v>10</v>
      </c>
      <c r="E16" s="22">
        <f>VLOOKUP(C16,'Price List'!$A$5:$B$9,2,0)</f>
        <v>99</v>
      </c>
      <c r="F16" s="22">
        <f t="shared" si="0"/>
        <v>990</v>
      </c>
      <c r="G16" s="22">
        <f t="shared" si="1"/>
        <v>2</v>
      </c>
      <c r="H16" s="23" t="str">
        <f>IF('Customer Orders'!F16&gt;'Customer Orders'!$F$17*0.15,"High Value Customer",IF(F16&gt;='Customer Orders'!$F$17*0.08,"Medium Customer","Standard Customer"))</f>
        <v>Medium Customer</v>
      </c>
    </row>
    <row r="17" spans="1:8" ht="24" customHeight="1" x14ac:dyDescent="0.3">
      <c r="A17" s="28" t="s">
        <v>39</v>
      </c>
      <c r="B17" s="29"/>
      <c r="C17" s="29"/>
      <c r="D17" s="30">
        <f>SUM(D5:D16)</f>
        <v>47</v>
      </c>
      <c r="E17" s="29"/>
      <c r="F17" s="31">
        <f>SUM(F5:F16)</f>
        <v>7333</v>
      </c>
      <c r="G17" s="29"/>
      <c r="H17" s="32"/>
    </row>
    <row r="19" spans="1:8" ht="19.5" customHeight="1" x14ac:dyDescent="0.3">
      <c r="A19" s="13" t="s">
        <v>40</v>
      </c>
      <c r="B19" s="13"/>
      <c r="C19" s="13"/>
      <c r="D19" s="13"/>
      <c r="E19" s="13"/>
      <c r="F19" s="13"/>
      <c r="G19" s="13"/>
      <c r="H19" s="13"/>
    </row>
    <row r="20" spans="1:8" ht="31.5" customHeight="1" x14ac:dyDescent="0.3">
      <c r="A20" s="12" t="s">
        <v>84</v>
      </c>
      <c r="B20" s="12"/>
      <c r="C20" s="12"/>
      <c r="D20" s="12"/>
      <c r="E20" s="12"/>
      <c r="F20" s="12"/>
      <c r="G20" s="12"/>
      <c r="H20" s="12"/>
    </row>
  </sheetData>
  <mergeCells count="4">
    <mergeCell ref="A1:H1"/>
    <mergeCell ref="A2:H2"/>
    <mergeCell ref="A19:H19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zoomScaleNormal="100" workbookViewId="0">
      <selection activeCell="B5" sqref="B5"/>
    </sheetView>
  </sheetViews>
  <sheetFormatPr defaultColWidth="8.6640625" defaultRowHeight="14.4" x14ac:dyDescent="0.3"/>
  <cols>
    <col min="1" max="1" width="26" customWidth="1"/>
    <col min="2" max="2" width="16" customWidth="1"/>
    <col min="3" max="3" width="20" customWidth="1"/>
  </cols>
  <sheetData>
    <row r="1" spans="1:3" ht="27.75" customHeight="1" x14ac:dyDescent="0.3">
      <c r="A1" s="14" t="s">
        <v>41</v>
      </c>
      <c r="B1" s="14"/>
      <c r="C1" s="14"/>
    </row>
    <row r="2" spans="1:3" ht="18" customHeight="1" x14ac:dyDescent="0.3">
      <c r="A2" s="11" t="s">
        <v>42</v>
      </c>
      <c r="B2" s="11"/>
      <c r="C2" s="11"/>
    </row>
    <row r="3" spans="1:3" ht="6" customHeight="1" x14ac:dyDescent="0.3"/>
    <row r="4" spans="1:3" ht="21.75" customHeight="1" x14ac:dyDescent="0.3">
      <c r="A4" s="33" t="s">
        <v>43</v>
      </c>
      <c r="B4" s="34" t="s">
        <v>44</v>
      </c>
      <c r="C4" s="35" t="s">
        <v>45</v>
      </c>
    </row>
    <row r="5" spans="1:3" ht="21.75" customHeight="1" x14ac:dyDescent="0.3">
      <c r="A5" s="20" t="s">
        <v>12</v>
      </c>
      <c r="B5" s="36">
        <v>399</v>
      </c>
      <c r="C5" s="37" t="s">
        <v>46</v>
      </c>
    </row>
    <row r="6" spans="1:3" ht="21.75" customHeight="1" x14ac:dyDescent="0.3">
      <c r="A6" s="26" t="s">
        <v>15</v>
      </c>
      <c r="B6" s="38">
        <v>99</v>
      </c>
      <c r="C6" s="39" t="s">
        <v>47</v>
      </c>
    </row>
    <row r="7" spans="1:3" ht="21.75" customHeight="1" x14ac:dyDescent="0.3">
      <c r="A7" s="20" t="s">
        <v>18</v>
      </c>
      <c r="B7" s="36">
        <v>149</v>
      </c>
      <c r="C7" s="37" t="s">
        <v>48</v>
      </c>
    </row>
    <row r="8" spans="1:3" ht="21.75" customHeight="1" x14ac:dyDescent="0.3">
      <c r="A8" s="26" t="s">
        <v>24</v>
      </c>
      <c r="B8" s="38">
        <v>79</v>
      </c>
      <c r="C8" s="39" t="s">
        <v>48</v>
      </c>
    </row>
    <row r="9" spans="1:3" ht="21.75" customHeight="1" x14ac:dyDescent="0.3">
      <c r="A9" s="20" t="s">
        <v>21</v>
      </c>
      <c r="B9" s="36">
        <v>249</v>
      </c>
      <c r="C9" s="37" t="s">
        <v>49</v>
      </c>
    </row>
    <row r="12" spans="1:3" ht="7.5" customHeight="1" x14ac:dyDescent="0.3"/>
    <row r="13" spans="1:3" ht="19.5" customHeight="1" x14ac:dyDescent="0.3">
      <c r="A13" s="10" t="s">
        <v>50</v>
      </c>
      <c r="B13" s="10"/>
      <c r="C13" s="10"/>
    </row>
    <row r="14" spans="1:3" ht="51.75" customHeight="1" x14ac:dyDescent="0.3">
      <c r="A14" s="9" t="s">
        <v>51</v>
      </c>
      <c r="B14" s="9"/>
      <c r="C14" s="9"/>
    </row>
  </sheetData>
  <mergeCells count="4">
    <mergeCell ref="A1:C1"/>
    <mergeCell ref="A2:C2"/>
    <mergeCell ref="A13:C13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topLeftCell="A13" zoomScaleNormal="100" workbookViewId="0">
      <selection activeCell="C21" sqref="C21"/>
    </sheetView>
  </sheetViews>
  <sheetFormatPr defaultColWidth="8.6640625" defaultRowHeight="14.4" x14ac:dyDescent="0.3"/>
  <cols>
    <col min="1" max="1" width="6" customWidth="1"/>
    <col min="2" max="2" width="26" customWidth="1"/>
    <col min="3" max="3" width="40" customWidth="1"/>
    <col min="4" max="4" width="34" customWidth="1"/>
  </cols>
  <sheetData>
    <row r="1" spans="1:4" ht="31.5" customHeight="1" x14ac:dyDescent="0.3">
      <c r="A1" s="8" t="s">
        <v>52</v>
      </c>
      <c r="B1" s="8"/>
      <c r="C1" s="8"/>
      <c r="D1" s="8"/>
    </row>
    <row r="2" spans="1:4" ht="21.75" customHeight="1" x14ac:dyDescent="0.3">
      <c r="A2" s="40" t="s">
        <v>53</v>
      </c>
      <c r="B2" s="41" t="s">
        <v>54</v>
      </c>
      <c r="C2" s="41" t="s">
        <v>55</v>
      </c>
      <c r="D2" s="42" t="s">
        <v>56</v>
      </c>
    </row>
    <row r="3" spans="1:4" ht="88.8" customHeight="1" x14ac:dyDescent="0.3">
      <c r="A3" s="7" t="s">
        <v>57</v>
      </c>
      <c r="B3" s="6" t="s">
        <v>58</v>
      </c>
      <c r="C3" s="43" t="s">
        <v>59</v>
      </c>
      <c r="D3" s="44"/>
    </row>
    <row r="4" spans="1:4" ht="88.8" customHeight="1" x14ac:dyDescent="0.3">
      <c r="A4" s="7"/>
      <c r="B4" s="6"/>
      <c r="C4" s="45" t="s">
        <v>60</v>
      </c>
      <c r="D4" s="44"/>
    </row>
    <row r="5" spans="1:4" ht="7.5" customHeight="1" x14ac:dyDescent="0.3">
      <c r="A5" s="46"/>
      <c r="B5" s="47"/>
      <c r="C5" s="47"/>
      <c r="D5" s="44"/>
    </row>
    <row r="6" spans="1:4" ht="105.6" customHeight="1" x14ac:dyDescent="0.3">
      <c r="A6" s="7" t="s">
        <v>61</v>
      </c>
      <c r="B6" s="6" t="s">
        <v>62</v>
      </c>
      <c r="C6" s="43" t="s">
        <v>63</v>
      </c>
      <c r="D6" s="44"/>
    </row>
    <row r="7" spans="1:4" ht="105.6" customHeight="1" x14ac:dyDescent="0.3">
      <c r="A7" s="7"/>
      <c r="B7" s="6"/>
      <c r="C7" s="45" t="s">
        <v>64</v>
      </c>
      <c r="D7" s="44"/>
    </row>
    <row r="8" spans="1:4" ht="7.5" customHeight="1" x14ac:dyDescent="0.3">
      <c r="A8" s="46"/>
      <c r="B8" s="47"/>
      <c r="C8" s="47"/>
      <c r="D8" s="44"/>
    </row>
    <row r="9" spans="1:4" ht="97.8" customHeight="1" x14ac:dyDescent="0.3">
      <c r="A9" s="7" t="s">
        <v>65</v>
      </c>
      <c r="B9" s="6" t="s">
        <v>66</v>
      </c>
      <c r="C9" s="43" t="s">
        <v>67</v>
      </c>
      <c r="D9" s="44"/>
    </row>
    <row r="10" spans="1:4" ht="97.8" customHeight="1" x14ac:dyDescent="0.3">
      <c r="A10" s="7"/>
      <c r="B10" s="6"/>
      <c r="C10" s="45" t="s">
        <v>68</v>
      </c>
      <c r="D10" s="44"/>
    </row>
    <row r="11" spans="1:4" ht="7.5" customHeight="1" x14ac:dyDescent="0.3">
      <c r="A11" s="46"/>
      <c r="B11" s="47"/>
      <c r="C11" s="47"/>
      <c r="D11" s="44"/>
    </row>
    <row r="12" spans="1:4" ht="69.599999999999994" customHeight="1" x14ac:dyDescent="0.3">
      <c r="A12" s="5" t="s">
        <v>69</v>
      </c>
      <c r="B12" s="4" t="s">
        <v>70</v>
      </c>
      <c r="C12" s="48" t="s">
        <v>71</v>
      </c>
      <c r="D12" s="44"/>
    </row>
    <row r="13" spans="1:4" ht="69.599999999999994" customHeight="1" x14ac:dyDescent="0.3">
      <c r="A13" s="5"/>
      <c r="B13" s="4"/>
      <c r="C13" s="45" t="s">
        <v>72</v>
      </c>
      <c r="D13" s="44"/>
    </row>
    <row r="14" spans="1:4" ht="7.5" customHeight="1" x14ac:dyDescent="0.3">
      <c r="A14" s="46"/>
      <c r="B14" s="47"/>
      <c r="C14" s="47"/>
      <c r="D14" s="44"/>
    </row>
    <row r="15" spans="1:4" ht="113.4" customHeight="1" x14ac:dyDescent="0.3">
      <c r="A15" s="5" t="s">
        <v>73</v>
      </c>
      <c r="B15" s="4" t="s">
        <v>74</v>
      </c>
      <c r="C15" s="48" t="s">
        <v>75</v>
      </c>
      <c r="D15" s="44"/>
    </row>
    <row r="16" spans="1:4" ht="113.4" customHeight="1" x14ac:dyDescent="0.3">
      <c r="A16" s="5"/>
      <c r="B16" s="4"/>
      <c r="C16" s="45" t="s">
        <v>76</v>
      </c>
      <c r="D16" s="44"/>
    </row>
    <row r="17" spans="1:4" ht="15" customHeight="1" x14ac:dyDescent="0.3">
      <c r="A17" s="46"/>
      <c r="B17" s="47"/>
      <c r="C17" s="47"/>
      <c r="D17" s="44"/>
    </row>
    <row r="18" spans="1:4" ht="15" customHeight="1" x14ac:dyDescent="0.3">
      <c r="A18" s="46"/>
      <c r="B18" s="47"/>
      <c r="C18" s="47"/>
      <c r="D18" s="44"/>
    </row>
    <row r="19" spans="1:4" ht="21.75" customHeight="1" x14ac:dyDescent="0.3">
      <c r="A19" s="3" t="s">
        <v>77</v>
      </c>
      <c r="B19" s="3"/>
      <c r="C19" s="3"/>
      <c r="D19" s="3"/>
    </row>
    <row r="20" spans="1:4" ht="25.5" customHeight="1" x14ac:dyDescent="0.3">
      <c r="A20" s="2" t="s">
        <v>78</v>
      </c>
      <c r="B20" s="2"/>
      <c r="C20" s="2"/>
      <c r="D20" s="2"/>
    </row>
    <row r="21" spans="1:4" ht="54" customHeight="1" x14ac:dyDescent="0.3">
      <c r="A21" s="49" t="s">
        <v>79</v>
      </c>
      <c r="B21" s="50" t="s">
        <v>80</v>
      </c>
      <c r="C21" s="51" t="s">
        <v>81</v>
      </c>
      <c r="D21" s="52" t="s">
        <v>82</v>
      </c>
    </row>
    <row r="22" spans="1:4" ht="15" customHeight="1" x14ac:dyDescent="0.3">
      <c r="A22" s="46"/>
      <c r="B22" s="47"/>
      <c r="C22" s="47"/>
      <c r="D22" s="44"/>
    </row>
    <row r="23" spans="1:4" ht="39.75" customHeight="1" x14ac:dyDescent="0.3">
      <c r="A23" s="1" t="s">
        <v>83</v>
      </c>
      <c r="B23" s="1"/>
      <c r="C23" s="1"/>
      <c r="D23" s="1"/>
    </row>
  </sheetData>
  <mergeCells count="14">
    <mergeCell ref="A19:D19"/>
    <mergeCell ref="A20:D20"/>
    <mergeCell ref="A23:D23"/>
    <mergeCell ref="A9:A10"/>
    <mergeCell ref="B9:B10"/>
    <mergeCell ref="A12:A13"/>
    <mergeCell ref="B12:B13"/>
    <mergeCell ref="A15:A16"/>
    <mergeCell ref="B15:B16"/>
    <mergeCell ref="A1:D1"/>
    <mergeCell ref="A3:A4"/>
    <mergeCell ref="B3:B4"/>
    <mergeCell ref="A6:A7"/>
    <mergeCell ref="B6:B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Orders</vt:lpstr>
      <vt:lpstr>Price List</vt:lpstr>
      <vt:lpstr>Practice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2026-03-29T06:55:08Z</dcterms:created>
  <dcterms:modified xsi:type="dcterms:W3CDTF">2026-03-29T07:18:40Z</dcterms:modified>
  <dc:language>en-US</dc:language>
</cp:coreProperties>
</file>