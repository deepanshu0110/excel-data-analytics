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530c6ebe1e7ac33e/Desktop/Excel/"/>
    </mc:Choice>
  </mc:AlternateContent>
  <xr:revisionPtr revIDLastSave="9" documentId="11_661397690F3109723D8F024AB9394554BAAF6179" xr6:coauthVersionLast="47" xr6:coauthVersionMax="47" xr10:uidLastSave="{8FA65827-8A85-4D3D-9328-D65E28A0758E}"/>
  <bookViews>
    <workbookView xWindow="-108" yWindow="-108" windowWidth="23256" windowHeight="12456" activeTab="1" xr2:uid="{00000000-000D-0000-FFFF-FFFF00000000}"/>
  </bookViews>
  <sheets>
    <sheet name="⭐ Start Here" sheetId="1" r:id="rId1"/>
    <sheet name="Raw Data (Messy)" sheetId="2" r:id="rId2"/>
    <sheet name="Sheet1" sheetId="7" r:id="rId3"/>
    <sheet name="Clean Data" sheetId="3" r:id="rId4"/>
    <sheet name="Analysis Tasks" sheetId="4" r:id="rId5"/>
    <sheet name="Lookup Table" sheetId="5" r:id="rId6"/>
    <sheet name="Client Summary" sheetId="6" r:id="rId7"/>
  </sheets>
  <calcPr calcId="191029"/>
  <pivotCaches>
    <pivotCache cacheId="0" r:id="rId8"/>
  </pivotCaches>
</workbook>
</file>

<file path=xl/calcChain.xml><?xml version="1.0" encoding="utf-8"?>
<calcChain xmlns="http://schemas.openxmlformats.org/spreadsheetml/2006/main">
  <c r="D31" i="4" l="1"/>
  <c r="D32" i="4"/>
  <c r="D30" i="4"/>
  <c r="C23" i="4"/>
  <c r="C24" i="4"/>
  <c r="C22" i="4"/>
  <c r="B24" i="4"/>
  <c r="B23" i="4"/>
  <c r="B22" i="4"/>
  <c r="C17" i="4"/>
  <c r="C16" i="4"/>
  <c r="C15" i="4"/>
  <c r="C5" i="4"/>
  <c r="B17" i="4"/>
  <c r="B16" i="4"/>
  <c r="B15" i="4"/>
  <c r="C10" i="4"/>
  <c r="C6" i="4"/>
  <c r="C7" i="4"/>
  <c r="C8" i="4"/>
  <c r="C9" i="4"/>
  <c r="B10" i="4"/>
  <c r="B9" i="4"/>
  <c r="B8" i="4"/>
  <c r="B7" i="4"/>
  <c r="B6" i="4"/>
  <c r="B5" i="4"/>
  <c r="I11" i="3"/>
  <c r="I12" i="3"/>
  <c r="I13" i="3"/>
  <c r="I14" i="3"/>
  <c r="I15" i="3"/>
  <c r="I16" i="3"/>
  <c r="I17" i="3"/>
  <c r="I18" i="3"/>
  <c r="I19" i="3"/>
  <c r="I20" i="3"/>
  <c r="I21" i="3"/>
  <c r="I22" i="3"/>
  <c r="I23" i="3"/>
  <c r="I10" i="3"/>
</calcChain>
</file>

<file path=xl/sharedStrings.xml><?xml version="1.0" encoding="utf-8"?>
<sst xmlns="http://schemas.openxmlformats.org/spreadsheetml/2006/main" count="367" uniqueCount="153">
  <si>
    <t>⭐  DAY 4 — WEEK 1 FINAL PROJECT</t>
  </si>
  <si>
    <t>No step-by-step guide. You decide the approach. This is the jump from following to thinking.</t>
  </si>
  <si>
    <t xml:space="preserve">  STEP 1 — Clean the Data</t>
  </si>
  <si>
    <t>Go to 'Raw Data (Messy)' sheet. Read ALL the ⚠ issue flags.
Then go to 'Clean Data' sheet and build the cleaned version.
Decide what to include, what to exclude, and document your decisions.</t>
  </si>
  <si>
    <t xml:space="preserve">  STEP 2 — Analyse</t>
  </si>
  <si>
    <t>Go to 'Analysis Tasks' sheet.
Complete Task A (Revenue by Product + % contribution)
Task B (Revenue by Month)
Task C (Revenue by Sales Rep + RANK)
Task D (VLOOKUP to get Regional Manager names)</t>
  </si>
  <si>
    <t xml:space="preserve">  STEP 3 — Write the Client Summary</t>
  </si>
  <si>
    <t>Go to 'Client Summary' sheet.
Fill in all 5 sections using your analysis numbers.
This is the deliverable you'd send to the shop owner.
No bullet points allowed — write in full sentences.</t>
  </si>
  <si>
    <t>📚  Skills you are allowed to use (Days 1–3 only)</t>
  </si>
  <si>
    <t>Day 1</t>
  </si>
  <si>
    <t>SUM, AVERAGE, RANK</t>
  </si>
  <si>
    <t>Revenue totals, ranking products/reps</t>
  </si>
  <si>
    <t>Day 2</t>
  </si>
  <si>
    <t>% Contribution formula, Pivot Table concept</t>
  </si>
  <si>
    <t>Which product dominates revenue</t>
  </si>
  <si>
    <t>Day 3</t>
  </si>
  <si>
    <t>VLOOKUP across sheets</t>
  </si>
  <si>
    <t>Lookup regional manager from a separate table</t>
  </si>
  <si>
    <t>All days</t>
  </si>
  <si>
    <t>IF formula for tagging</t>
  </si>
  <si>
    <t>Flag top performer, needs review, stable</t>
  </si>
  <si>
    <t>When you're done: send the completed file back. I will review your cleaning decisions, your analysis numbers, and your client summary writing. This is your first complete analyst deliverable.</t>
  </si>
  <si>
    <t>🗂  Day 4 — Raw Sales Data  |  Messy Version</t>
  </si>
  <si>
    <t>This data was collected by 3 different staff members across 2 months. It has NOT been cleaned. Your job starts here.</t>
  </si>
  <si>
    <t>Order ID</t>
  </si>
  <si>
    <t>Customer Name</t>
  </si>
  <si>
    <t>City</t>
  </si>
  <si>
    <t>Product</t>
  </si>
  <si>
    <t>Units Sold</t>
  </si>
  <si>
    <t>Unit Price (₹)</t>
  </si>
  <si>
    <t>Month</t>
  </si>
  <si>
    <t>Sales Rep</t>
  </si>
  <si>
    <t>⚠ Known Issues (read before cleaning)</t>
  </si>
  <si>
    <t>ORD-001</t>
  </si>
  <si>
    <t>Rahul Sharma</t>
  </si>
  <si>
    <t>Mumbai</t>
  </si>
  <si>
    <t>Earphones</t>
  </si>
  <si>
    <t>January</t>
  </si>
  <si>
    <t>Priya</t>
  </si>
  <si>
    <t>ORD-002</t>
  </si>
  <si>
    <t>Anjali Singh</t>
  </si>
  <si>
    <t>USB Cable</t>
  </si>
  <si>
    <t>Ravi</t>
  </si>
  <si>
    <t>ORD-003</t>
  </si>
  <si>
    <t>Bangalore</t>
  </si>
  <si>
    <t>Mobile Cover</t>
  </si>
  <si>
    <t>⚠ Missing Units — decide: exclude or estimate?</t>
  </si>
  <si>
    <t>ORD-004</t>
  </si>
  <si>
    <t>Neha Gupta</t>
  </si>
  <si>
    <t>Screen Guard</t>
  </si>
  <si>
    <t>Suresh</t>
  </si>
  <si>
    <t>⚠ City in ALL CAPS — standardise to Title Case</t>
  </si>
  <si>
    <t>ORD-005</t>
  </si>
  <si>
    <t>Arjun Mehta</t>
  </si>
  <si>
    <t>Phone Stand</t>
  </si>
  <si>
    <t>⚠ Units = 'N/A' — this is text, not a number. Exclude from analysis.</t>
  </si>
  <si>
    <t>ORD-006</t>
  </si>
  <si>
    <t xml:space="preserve">Rahul Sharma  </t>
  </si>
  <si>
    <t>⚠ Month entered as '1' instead of 'January' — fix before pivot</t>
  </si>
  <si>
    <t>ORD-007</t>
  </si>
  <si>
    <t>Ahmedabad</t>
  </si>
  <si>
    <t>N/A</t>
  </si>
  <si>
    <t>ORD-008</t>
  </si>
  <si>
    <t>Kiran Rao</t>
  </si>
  <si>
    <t>Hyderabad</t>
  </si>
  <si>
    <t>⚠ City inconsistency — 'MUMBAI' should match 'Mumbai'</t>
  </si>
  <si>
    <t>ORD-009</t>
  </si>
  <si>
    <t>Amit Kumar</t>
  </si>
  <si>
    <t>Delhi</t>
  </si>
  <si>
    <t>February</t>
  </si>
  <si>
    <t>⚠ Missing Units — same issue as Row 6</t>
  </si>
  <si>
    <t>ORD-010</t>
  </si>
  <si>
    <t>Sunita Joshi</t>
  </si>
  <si>
    <t>⚠ Price entered as '₹99' (text) — strip symbol, convert to number</t>
  </si>
  <si>
    <t>ORD-011</t>
  </si>
  <si>
    <t>Rohit Das</t>
  </si>
  <si>
    <t>Kolkata</t>
  </si>
  <si>
    <t>ORD-012</t>
  </si>
  <si>
    <t>Vikram Nair</t>
  </si>
  <si>
    <t>ORD-013</t>
  </si>
  <si>
    <t>⚠ Zero units — real transaction? Or data entry error?</t>
  </si>
  <si>
    <t>ORD-014</t>
  </si>
  <si>
    <t>Manoj Yadav</t>
  </si>
  <si>
    <t>ORD-015</t>
  </si>
  <si>
    <t>ORD-016</t>
  </si>
  <si>
    <t>Priya Shah</t>
  </si>
  <si>
    <t>Chennai</t>
  </si>
  <si>
    <t>⚠ Missing Units again — pattern: Priya's rows have this issue</t>
  </si>
  <si>
    <t>ORD-017</t>
  </si>
  <si>
    <t>⚠ Month = 'unknown' — cannot use in time analysis. Flag it.</t>
  </si>
  <si>
    <t>ORD-018</t>
  </si>
  <si>
    <t>Rahul sharma</t>
  </si>
  <si>
    <t>⚠ Possible duplicate of ORD-012 — same city, product, units, rep</t>
  </si>
  <si>
    <t>ORD-019</t>
  </si>
  <si>
    <t>unknown</t>
  </si>
  <si>
    <t>ORD-020</t>
  </si>
  <si>
    <t>✅  Step 1 — Cleaned Data  |  You create this</t>
  </si>
  <si>
    <t>Copy rows from Raw Data that are usable. Apply these cleaning rules:</t>
  </si>
  <si>
    <t>1. Standardise City names → Title Case (Mumbai, Delhi, Bangalore, Chennai, Hyderabad, Ahmedabad, Kolkata)</t>
  </si>
  <si>
    <t>2. Customer Name → Title Case (Rahul Sharma, not RAHUL SHARMA or rahul sharma). Remove trailing spaces.</t>
  </si>
  <si>
    <t>3. Rows where Units = blank, 'N/A', or 0 → EXCLUDE. Note how many you dropped.</t>
  </si>
  <si>
    <t>4. Month = '1' → replace with 'January'. Month = 'unknown' → EXCLUDE.</t>
  </si>
  <si>
    <t>5. Price = '₹99' → remove ₹ symbol and store as number 99.</t>
  </si>
  <si>
    <t>6. If a row looks like a duplicate (same customer + product + city + rep + units) → keep one, exclude other. Note it.</t>
  </si>
  <si>
    <t>Revenue (₹)</t>
  </si>
  <si>
    <t>💡 Revenue column = Units Sold × Unit Price (₹)  —  use a formula, not manual calculation</t>
  </si>
  <si>
    <t>Rows I Excluded &amp; Why</t>
  </si>
  <si>
    <t>Reason for Exclusion</t>
  </si>
  <si>
    <t>Type of Problem</t>
  </si>
  <si>
    <t>📊  Step 2 — Analysis  |  Use only what you've learned in Days 1–3</t>
  </si>
  <si>
    <t xml:space="preserve">  Task A: Revenue by Product (SUM)  |  (Day 1 skill)</t>
  </si>
  <si>
    <t>Total Revenue (₹)</t>
  </si>
  <si>
    <t>% of Total Revenue</t>
  </si>
  <si>
    <t>GRAND TOTAL</t>
  </si>
  <si>
    <t xml:space="preserve">  Task B: Revenue by Month (SUM)  |  (Day 1 + Day 2 skill)</t>
  </si>
  <si>
    <t>% of Total</t>
  </si>
  <si>
    <t xml:space="preserve">  Task C: Revenue by Sales Rep (SUM + RANK)  |  (Day 1 skill)</t>
  </si>
  <si>
    <t>Rank</t>
  </si>
  <si>
    <t xml:space="preserve">  Task D: Use VLOOKUP — Regional Manager Lookup  |  (Day 3 skill)</t>
  </si>
  <si>
    <t>The company has a separate lookup table (see 'Lookup Table' sheet). Use VLOOKUP to bring the Regional Manager's name into the table below.</t>
  </si>
  <si>
    <t>Regional Manager (VLOOKUP)</t>
  </si>
  <si>
    <t>Mumbai / Ahmedabad</t>
  </si>
  <si>
    <t>Bangalore / Hyderabad / Kolkata</t>
  </si>
  <si>
    <t>Delhi / Chennai</t>
  </si>
  <si>
    <t>Sales Rep → Regional Manager Lookup</t>
  </si>
  <si>
    <t>Regional Manager</t>
  </si>
  <si>
    <t>Ms. Kavitha Reddy</t>
  </si>
  <si>
    <t>Mr. Sanjay Mehta</t>
  </si>
  <si>
    <t>📄  Step 3 — One-Page Client Summary  |  You write this</t>
  </si>
  <si>
    <t>CLIENT: [Write client name or 'Retail Shop Owner']</t>
  </si>
  <si>
    <t>1. OVERVIEW — What does this data tell us?</t>
  </si>
  <si>
    <t>2. TOP PERFORMER — Which product drove the most revenue?</t>
  </si>
  <si>
    <t>3. LOW PERFORMER — Which product needs attention?</t>
  </si>
  <si>
    <t>4. DATA QUALITY NOTE — What problems did you find?</t>
  </si>
  <si>
    <t>5. RECOMMENDATION — What should the client do next?</t>
  </si>
  <si>
    <t>Pooja Patel</t>
  </si>
  <si>
    <t>Deepak Verma</t>
  </si>
  <si>
    <t>Units Sold Missing</t>
  </si>
  <si>
    <t>Missing Value</t>
  </si>
  <si>
    <t>Unit Shows Zero</t>
  </si>
  <si>
    <t>Data Error or Real Transaction</t>
  </si>
  <si>
    <t>Month is unknown</t>
  </si>
  <si>
    <t>Timeline issue</t>
  </si>
  <si>
    <t>Row Labels</t>
  </si>
  <si>
    <t>Grand Total</t>
  </si>
  <si>
    <t>Sum of Revenue (₹)</t>
  </si>
  <si>
    <t>REPORT PERIOD: January–February 2026  |  Prepared by: Deepanshu</t>
  </si>
  <si>
    <t>[Write 2–3 sentences. Total revenue earned. How many valid orders. Which months were covered.
Example: 'The shop processed X valid orders across January and February, generating total revenue of ₹___. February showed higher activity than January.'].The shop processed 14 valid orders across January and February, generating total revenue of Rs.142495.February showed higher activity than January.</t>
  </si>
  <si>
    <t>[Name the product. Give its revenue and % contribution.
Example: 'Earphones were the top revenue driver at ₹___ (___% of total revenue), despite ranking ___ in unit volume.']Earphones were the top revenue driver Rs77805(50.6% of total revenue)</t>
  </si>
  <si>
    <t>(All)</t>
  </si>
  <si>
    <t>[Name the product. Give its revenue and % contribution. Mention what the client should do.
Example: 'Phone Stand contributed only ___% of revenue. The client should consider whether pricing or low awareness is the issue.'].Phone Stand contribute on 7.8% of revenue.You should consider whether price or awareness what should solve this problem</t>
  </si>
  <si>
    <t>[This is important — clients trust analysts who flag issues.
List: how many rows you excluded, why (missing data / text errors / duplicates), and what impact it had on the analysis.
Example: 'X rows were excluded due to missing unit values, 1 duplicate order removed, and 1 row had an unreadable month value.']4 rows are excluded due to missing unit values and 1 row for unreadable month value.1 row is for showing 0 in unit value it is not clear whether it is real value or data error.</t>
  </si>
  <si>
    <t>[1 action per insight. Be specific.
Example:
• Focus stock investment on Earphones — highest revenue per unit, positive trend.
• Investigate Phone Stand — low revenue despite decent price point.
• Request Priya to correct data entry — 3 of her rows had missing unit values.']Focus stock investment in Earphones because they are at present you higher revenue product per unit it shows positive trend.Investigate Phone Stand for its low revenue despite its decent price.Request Priya and Suresh to correct their data entry 3 of the priya rows should shows missing unit values and 1 entry show 0 unit value and Suresh has 1 entry for missing unit value and 1 entry for unknown month timeline.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</si>
</sst>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14"/>
      <color rgb="FFFFFFFF"/>
      <name val="Arial"/>
    </font>
    <font>
      <i/>
      <sz val="10"/>
      <color rgb="FF843C0C"/>
      <name val="Arial"/>
    </font>
    <font>
      <b/>
      <sz val="10"/>
      <color rgb="FFFFFFFF"/>
      <name val="Arial"/>
    </font>
    <font>
      <sz val="10"/>
      <color rgb="FF000000"/>
      <name val="Arial"/>
    </font>
    <font>
      <i/>
      <sz val="9"/>
      <color rgb="FF843C0C"/>
      <name val="Arial"/>
    </font>
    <font>
      <b/>
      <sz val="13"/>
      <color rgb="FFFFFFFF"/>
      <name val="Arial"/>
    </font>
    <font>
      <b/>
      <sz val="9"/>
      <color rgb="FF1F3864"/>
      <name val="Arial"/>
    </font>
    <font>
      <i/>
      <sz val="9"/>
      <color rgb="FF1F3864"/>
      <name val="Arial"/>
    </font>
    <font>
      <b/>
      <sz val="9"/>
      <color rgb="FF7F6000"/>
      <name val="Arial"/>
    </font>
    <font>
      <b/>
      <sz val="9"/>
      <color rgb="FFFFFFFF"/>
      <name val="Arial"/>
    </font>
    <font>
      <b/>
      <sz val="11"/>
      <color rgb="FFFFFFFF"/>
      <name val="Arial"/>
    </font>
    <font>
      <sz val="9"/>
      <color rgb="FF1F3864"/>
      <name val="Arial"/>
    </font>
    <font>
      <b/>
      <sz val="12"/>
      <color rgb="FFFFFFFF"/>
      <name val="Arial"/>
    </font>
    <font>
      <b/>
      <sz val="10"/>
      <color rgb="FF000000"/>
      <name val="Arial"/>
    </font>
    <font>
      <b/>
      <sz val="16"/>
      <color rgb="FFFFFFFF"/>
      <name val="Arial"/>
    </font>
    <font>
      <sz val="10"/>
      <color rgb="FF1F3864"/>
      <name val="Arial"/>
    </font>
    <font>
      <i/>
      <sz val="10"/>
      <color rgb="FF000000"/>
      <name val="Arial"/>
    </font>
    <font>
      <b/>
      <sz val="10"/>
      <color rgb="FF1F3864"/>
      <name val="Arial"/>
    </font>
    <font>
      <sz val="11"/>
      <color theme="1"/>
      <name val="Calibri"/>
      <family val="2"/>
      <scheme val="minor"/>
    </font>
    <font>
      <i/>
      <sz val="10"/>
      <color rgb="FF1F3864"/>
      <name val="Arial"/>
      <family val="2"/>
    </font>
    <font>
      <i/>
      <sz val="10"/>
      <color rgb="FF843C0C"/>
      <name val="Arial"/>
      <family val="2"/>
    </font>
    <font>
      <i/>
      <sz val="10"/>
      <color rgb="FF375623"/>
      <name val="Arial"/>
      <family val="2"/>
    </font>
  </fonts>
  <fills count="15">
    <fill>
      <patternFill patternType="none"/>
    </fill>
    <fill>
      <patternFill patternType="gray125"/>
    </fill>
    <fill>
      <patternFill patternType="solid">
        <fgColor rgb="FFC00000"/>
      </patternFill>
    </fill>
    <fill>
      <patternFill patternType="solid">
        <fgColor rgb="FFFCE4D6"/>
      </patternFill>
    </fill>
    <fill>
      <patternFill patternType="solid">
        <fgColor rgb="FF1F3864"/>
      </patternFill>
    </fill>
    <fill>
      <patternFill patternType="solid">
        <fgColor rgb="FFF7FBFF"/>
      </patternFill>
    </fill>
    <fill>
      <patternFill patternType="solid">
        <fgColor rgb="FFFFFFFF"/>
      </patternFill>
    </fill>
    <fill>
      <patternFill patternType="solid">
        <fgColor rgb="FF843C0C"/>
      </patternFill>
    </fill>
    <fill>
      <patternFill patternType="solid">
        <fgColor rgb="FF375623"/>
      </patternFill>
    </fill>
    <fill>
      <patternFill patternType="solid">
        <fgColor rgb="FFD9E8F5"/>
      </patternFill>
    </fill>
    <fill>
      <patternFill patternType="solid">
        <fgColor rgb="FFEBF3FB"/>
      </patternFill>
    </fill>
    <fill>
      <patternFill patternType="solid">
        <fgColor rgb="FFFFF2CC"/>
      </patternFill>
    </fill>
    <fill>
      <patternFill patternType="solid">
        <fgColor rgb="FF2E5EAA"/>
      </patternFill>
    </fill>
    <fill>
      <patternFill patternType="solid">
        <fgColor rgb="FFE2EFDA"/>
      </patternFill>
    </fill>
    <fill>
      <patternFill patternType="solid">
        <f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9" fontId="19" fillId="0" borderId="0" applyFont="0" applyFill="0" applyBorder="0" applyAlignment="0" applyProtection="0"/>
  </cellStyleXfs>
  <cellXfs count="60">
    <xf numFmtId="0" fontId="0" fillId="0" borderId="0" xfId="0"/>
    <xf numFmtId="0" fontId="14" fillId="5" borderId="1" xfId="0" applyFont="1" applyFill="1" applyBorder="1" applyAlignment="1">
      <alignment horizontal="center" vertical="center"/>
    </xf>
    <xf numFmtId="0" fontId="4" fillId="5" borderId="1" xfId="0" applyFont="1" applyFill="1" applyBorder="1" applyAlignment="1">
      <alignment horizontal="left" vertical="center"/>
    </xf>
    <xf numFmtId="0" fontId="14" fillId="6" borderId="1" xfId="0" applyFont="1" applyFill="1" applyBorder="1" applyAlignment="1">
      <alignment horizontal="center" vertical="center"/>
    </xf>
    <xf numFmtId="0" fontId="4" fillId="6" borderId="1" xfId="0" applyFont="1" applyFill="1" applyBorder="1" applyAlignment="1">
      <alignment horizontal="left" vertical="center"/>
    </xf>
    <xf numFmtId="0" fontId="3" fillId="4" borderId="1" xfId="0" applyFont="1" applyFill="1" applyBorder="1" applyAlignment="1">
      <alignment horizontal="center" vertical="center"/>
    </xf>
    <xf numFmtId="0" fontId="3" fillId="7" borderId="0" xfId="0" applyFont="1" applyFill="1" applyAlignment="1">
      <alignment horizontal="center" vertical="center"/>
    </xf>
    <xf numFmtId="0" fontId="4" fillId="5" borderId="1" xfId="0" applyFont="1" applyFill="1" applyBorder="1" applyAlignment="1">
      <alignment horizontal="center" vertical="center"/>
    </xf>
    <xf numFmtId="0" fontId="4" fillId="6" borderId="1" xfId="0" applyFont="1" applyFill="1" applyBorder="1" applyAlignment="1">
      <alignment horizontal="center" vertical="center"/>
    </xf>
    <xf numFmtId="0" fontId="5" fillId="3" borderId="0" xfId="0" applyFont="1" applyFill="1" applyAlignment="1">
      <alignment horizontal="left" vertical="center" wrapText="1"/>
    </xf>
    <xf numFmtId="0" fontId="3" fillId="8" borderId="1" xfId="0" applyFont="1" applyFill="1" applyBorder="1" applyAlignment="1">
      <alignment horizontal="center" vertical="center"/>
    </xf>
    <xf numFmtId="0" fontId="0" fillId="6" borderId="1" xfId="0" applyFill="1" applyBorder="1"/>
    <xf numFmtId="0" fontId="10" fillId="4" borderId="1" xfId="0" applyFont="1" applyFill="1" applyBorder="1" applyAlignment="1">
      <alignment horizontal="center" vertical="center"/>
    </xf>
    <xf numFmtId="0" fontId="0" fillId="3" borderId="1" xfId="0" applyFill="1" applyBorder="1"/>
    <xf numFmtId="0" fontId="3" fillId="12" borderId="1" xfId="0" applyFont="1" applyFill="1" applyBorder="1" applyAlignment="1">
      <alignment horizontal="center" vertical="center"/>
    </xf>
    <xf numFmtId="0" fontId="12" fillId="6" borderId="1" xfId="0" applyFont="1" applyFill="1" applyBorder="1" applyAlignment="1">
      <alignment horizontal="left" vertical="center" wrapText="1"/>
    </xf>
    <xf numFmtId="0" fontId="8" fillId="6" borderId="1" xfId="0" applyFont="1" applyFill="1" applyBorder="1" applyAlignment="1">
      <alignment horizontal="center" vertical="center" wrapText="1"/>
    </xf>
    <xf numFmtId="0" fontId="7" fillId="11" borderId="1" xfId="0" applyFont="1" applyFill="1" applyBorder="1" applyAlignment="1">
      <alignment horizontal="left" vertical="center" wrapText="1"/>
    </xf>
    <xf numFmtId="0" fontId="7" fillId="11" borderId="1" xfId="0" applyFont="1" applyFill="1" applyBorder="1" applyAlignment="1">
      <alignment horizontal="center" vertical="center" wrapText="1"/>
    </xf>
    <xf numFmtId="0" fontId="12" fillId="6" borderId="1" xfId="0" applyFont="1" applyFill="1" applyBorder="1" applyAlignment="1">
      <alignment horizontal="left" vertical="center"/>
    </xf>
    <xf numFmtId="0" fontId="12" fillId="6" borderId="1" xfId="0" applyFont="1" applyFill="1" applyBorder="1" applyAlignment="1">
      <alignment horizontal="center" vertical="center"/>
    </xf>
    <xf numFmtId="0" fontId="8" fillId="13" borderId="1" xfId="0" applyFont="1" applyFill="1" applyBorder="1" applyAlignment="1">
      <alignment horizontal="center" vertical="center"/>
    </xf>
    <xf numFmtId="0" fontId="14" fillId="9" borderId="1" xfId="0" applyFont="1" applyFill="1" applyBorder="1" applyAlignment="1">
      <alignment horizontal="center" vertical="center"/>
    </xf>
    <xf numFmtId="0" fontId="4" fillId="9" borderId="1" xfId="0" applyFont="1" applyFill="1" applyBorder="1" applyAlignment="1">
      <alignment horizontal="left" vertical="center"/>
    </xf>
    <xf numFmtId="0" fontId="14" fillId="6" borderId="0" xfId="0" applyFont="1" applyFill="1" applyAlignment="1">
      <alignment horizontal="center" vertical="center"/>
    </xf>
    <xf numFmtId="0" fontId="4" fillId="6" borderId="0" xfId="0" applyFont="1" applyFill="1" applyAlignment="1">
      <alignment horizontal="left" vertical="center"/>
    </xf>
    <xf numFmtId="0" fontId="0" fillId="0" borderId="0" xfId="0" pivotButton="1"/>
    <xf numFmtId="0" fontId="0" fillId="0" borderId="0" xfId="0" applyAlignment="1">
      <alignment horizontal="left"/>
    </xf>
    <xf numFmtId="10" fontId="0" fillId="0" borderId="0" xfId="0" applyNumberFormat="1"/>
    <xf numFmtId="9" fontId="0" fillId="0" borderId="0" xfId="1" applyFont="1"/>
    <xf numFmtId="0" fontId="8" fillId="6" borderId="1" xfId="1" applyNumberFormat="1" applyFont="1" applyFill="1" applyBorder="1" applyAlignment="1">
      <alignment horizontal="center" vertical="center" wrapText="1"/>
    </xf>
    <xf numFmtId="0" fontId="6" fillId="2" borderId="0" xfId="0" applyFont="1" applyFill="1" applyAlignment="1">
      <alignment horizontal="center" vertical="center"/>
    </xf>
    <xf numFmtId="0" fontId="0" fillId="0" borderId="0" xfId="0"/>
    <xf numFmtId="0" fontId="3" fillId="12" borderId="0" xfId="0" applyFont="1" applyFill="1" applyAlignment="1">
      <alignment horizontal="left" vertical="top" wrapText="1"/>
    </xf>
    <xf numFmtId="0" fontId="20" fillId="10" borderId="0" xfId="0" applyFont="1" applyFill="1" applyAlignment="1">
      <alignment horizontal="left" vertical="top" wrapText="1"/>
    </xf>
    <xf numFmtId="0" fontId="22" fillId="13" borderId="0" xfId="0" applyFont="1" applyFill="1" applyAlignment="1">
      <alignment horizontal="left" vertical="top" wrapText="1"/>
    </xf>
    <xf numFmtId="0" fontId="20" fillId="14" borderId="0" xfId="0" applyFont="1" applyFill="1" applyAlignment="1">
      <alignment horizontal="left" vertical="top" wrapText="1"/>
    </xf>
    <xf numFmtId="0" fontId="3" fillId="4" borderId="0" xfId="0" applyFont="1" applyFill="1" applyAlignment="1">
      <alignment horizontal="left" vertical="top" wrapText="1"/>
    </xf>
    <xf numFmtId="0" fontId="21" fillId="3" borderId="0" xfId="0" applyFont="1" applyFill="1" applyAlignment="1">
      <alignment horizontal="left" vertical="top" wrapText="1"/>
    </xf>
    <xf numFmtId="0" fontId="18" fillId="11" borderId="0" xfId="0" applyFont="1" applyFill="1" applyAlignment="1">
      <alignment horizontal="left" vertical="center" wrapText="1"/>
    </xf>
    <xf numFmtId="0" fontId="17" fillId="6" borderId="1" xfId="0" applyFont="1" applyFill="1" applyBorder="1" applyAlignment="1">
      <alignment horizontal="left" vertical="center"/>
    </xf>
    <xf numFmtId="0" fontId="0" fillId="0" borderId="1" xfId="0" applyBorder="1"/>
    <xf numFmtId="0" fontId="17" fillId="5" borderId="1" xfId="0" applyFont="1" applyFill="1" applyBorder="1" applyAlignment="1">
      <alignment horizontal="left" vertical="center"/>
    </xf>
    <xf numFmtId="0" fontId="15" fillId="2" borderId="0" xfId="0" applyFont="1" applyFill="1" applyAlignment="1">
      <alignment horizontal="center" vertical="center"/>
    </xf>
    <xf numFmtId="0" fontId="13" fillId="12" borderId="0" xfId="0" applyFont="1" applyFill="1" applyAlignment="1">
      <alignment horizontal="left" vertical="center"/>
    </xf>
    <xf numFmtId="0" fontId="13" fillId="8" borderId="0" xfId="0" applyFont="1" applyFill="1" applyAlignment="1">
      <alignment horizontal="left" vertical="center"/>
    </xf>
    <xf numFmtId="0" fontId="16" fillId="13" borderId="0" xfId="0" applyFont="1" applyFill="1" applyAlignment="1">
      <alignment horizontal="left" vertical="top" wrapText="1"/>
    </xf>
    <xf numFmtId="0" fontId="13" fillId="4" borderId="0" xfId="0" applyFont="1" applyFill="1" applyAlignment="1">
      <alignment horizontal="left" vertical="center"/>
    </xf>
    <xf numFmtId="0" fontId="11" fillId="4" borderId="0" xfId="0" applyFont="1" applyFill="1" applyAlignment="1">
      <alignment horizontal="left" vertical="center"/>
    </xf>
    <xf numFmtId="0" fontId="2" fillId="3" borderId="0" xfId="0" applyFont="1" applyFill="1" applyAlignment="1">
      <alignment horizontal="center" vertical="center"/>
    </xf>
    <xf numFmtId="0" fontId="16" fillId="9" borderId="0" xfId="0" applyFont="1" applyFill="1" applyAlignment="1">
      <alignment horizontal="left" vertical="top" wrapText="1"/>
    </xf>
    <xf numFmtId="0" fontId="1" fillId="2" borderId="0" xfId="0" applyFont="1" applyFill="1" applyAlignment="1">
      <alignment horizontal="center" vertical="center"/>
    </xf>
    <xf numFmtId="0" fontId="6" fillId="8" borderId="0" xfId="0" applyFont="1" applyFill="1" applyAlignment="1">
      <alignment horizontal="center" vertical="center"/>
    </xf>
    <xf numFmtId="0" fontId="8" fillId="10" borderId="0" xfId="0" applyFont="1" applyFill="1" applyAlignment="1">
      <alignment horizontal="left" vertical="center" wrapText="1"/>
    </xf>
    <xf numFmtId="0" fontId="9" fillId="11" borderId="0" xfId="0" applyFont="1" applyFill="1" applyAlignment="1">
      <alignment horizontal="left" vertical="center"/>
    </xf>
    <xf numFmtId="0" fontId="3" fillId="2" borderId="1" xfId="0" applyFont="1" applyFill="1" applyBorder="1" applyAlignment="1">
      <alignment horizontal="center" vertical="center"/>
    </xf>
    <xf numFmtId="0" fontId="7" fillId="9" borderId="0" xfId="0" applyFont="1" applyFill="1" applyAlignment="1">
      <alignment horizontal="left" vertical="center" wrapText="1"/>
    </xf>
    <xf numFmtId="0" fontId="8" fillId="9" borderId="0" xfId="0" applyFont="1" applyFill="1" applyAlignment="1">
      <alignment horizontal="left" vertical="center" wrapText="1"/>
    </xf>
    <xf numFmtId="0" fontId="6" fillId="12" borderId="0" xfId="0" applyFont="1" applyFill="1" applyAlignment="1">
      <alignment horizontal="center" vertical="center"/>
    </xf>
    <xf numFmtId="0" fontId="13" fillId="12" borderId="0" xfId="0" applyFont="1" applyFill="1" applyAlignment="1">
      <alignment horizontal="center" vertical="center"/>
    </xf>
  </cellXfs>
  <cellStyles count="2">
    <cellStyle name="Normal" xfId="0" builtinId="0"/>
    <cellStyle name="Percent" xfId="1" builtinId="5"/>
  </cellStyles>
  <dxfs count="13">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anshu" refreshedDate="46110.769845717594" createdVersion="8" refreshedVersion="8" minRefreshableVersion="3" recordCount="14" xr:uid="{5FBF9507-8AD1-425E-9A00-797D59F28218}">
  <cacheSource type="worksheet">
    <worksheetSource ref="A9:I23" sheet="Clean Data"/>
  </cacheSource>
  <cacheFields count="9">
    <cacheField name="Order ID" numFmtId="0">
      <sharedItems count="14">
        <s v="ORD-001"/>
        <s v="ORD-002"/>
        <s v="ORD-004"/>
        <s v="ORD-005"/>
        <s v="ORD-006"/>
        <s v="ORD-008"/>
        <s v="ORD-009"/>
        <s v="ORD-010"/>
        <s v="ORD-012"/>
        <s v="ORD-013"/>
        <s v="ORD-014"/>
        <s v="ORD-016"/>
        <s v="ORD-017"/>
        <s v="ORD-020"/>
      </sharedItems>
    </cacheField>
    <cacheField name="Customer Name" numFmtId="0">
      <sharedItems/>
    </cacheField>
    <cacheField name="City" numFmtId="0">
      <sharedItems/>
    </cacheField>
    <cacheField name="Product" numFmtId="0">
      <sharedItems count="5">
        <s v="Earphones"/>
        <s v="USB Cable"/>
        <s v="Screen Guard"/>
        <s v="Phone Stand"/>
        <s v="Mobile Cover"/>
      </sharedItems>
    </cacheField>
    <cacheField name="Units Sold" numFmtId="0">
      <sharedItems containsSemiMixedTypes="0" containsString="0" containsNumber="1" containsInteger="1" minValue="20" maxValue="90" count="13">
        <n v="45"/>
        <n v="80"/>
        <n v="60"/>
        <n v="25"/>
        <n v="30"/>
        <n v="55"/>
        <n v="70"/>
        <n v="40"/>
        <n v="90"/>
        <n v="35"/>
        <n v="50"/>
        <n v="65"/>
        <n v="20"/>
      </sharedItems>
    </cacheField>
    <cacheField name="Unit Price (₹)" numFmtId="0">
      <sharedItems containsSemiMixedTypes="0" containsString="0" containsNumber="1" containsInteger="1" minValue="79" maxValue="399"/>
    </cacheField>
    <cacheField name="Month" numFmtId="0">
      <sharedItems count="2">
        <s v="January"/>
        <s v="February"/>
      </sharedItems>
    </cacheField>
    <cacheField name="Sales Rep" numFmtId="0">
      <sharedItems/>
    </cacheField>
    <cacheField name="Revenue (₹)" numFmtId="0">
      <sharedItems containsSemiMixedTypes="0" containsString="0" containsNumber="1" containsInteger="1" minValue="3160" maxValue="2793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x v="0"/>
    <s v="Rahul Sharma"/>
    <s v="Mumbai"/>
    <x v="0"/>
    <x v="0"/>
    <n v="399"/>
    <x v="0"/>
    <s v="Priya"/>
    <n v="17955"/>
  </r>
  <r>
    <x v="1"/>
    <s v="Anjali Singh"/>
    <s v="Delhi"/>
    <x v="1"/>
    <x v="1"/>
    <n v="99"/>
    <x v="0"/>
    <s v="Ravi"/>
    <n v="7920"/>
  </r>
  <r>
    <x v="2"/>
    <s v="Neha Gupta"/>
    <s v="Mumbai"/>
    <x v="2"/>
    <x v="2"/>
    <n v="79"/>
    <x v="0"/>
    <s v="Suresh"/>
    <n v="4740"/>
  </r>
  <r>
    <x v="3"/>
    <s v="Arjun Mehta"/>
    <s v="Chennai"/>
    <x v="3"/>
    <x v="3"/>
    <n v="249"/>
    <x v="0"/>
    <s v="Ravi"/>
    <n v="6225"/>
  </r>
  <r>
    <x v="4"/>
    <s v="Rahul Sharma  "/>
    <s v="Mumbai"/>
    <x v="0"/>
    <x v="4"/>
    <n v="399"/>
    <x v="0"/>
    <s v="Priya"/>
    <n v="11970"/>
  </r>
  <r>
    <x v="5"/>
    <s v="Kiran Rao"/>
    <s v="Hyderabad"/>
    <x v="4"/>
    <x v="5"/>
    <n v="149"/>
    <x v="0"/>
    <s v="Ravi"/>
    <n v="8195"/>
  </r>
  <r>
    <x v="6"/>
    <s v="Amit Kumar"/>
    <s v="Delhi"/>
    <x v="0"/>
    <x v="6"/>
    <n v="399"/>
    <x v="1"/>
    <s v="Priya"/>
    <n v="27930"/>
  </r>
  <r>
    <x v="7"/>
    <s v="Sunita Joshi"/>
    <s v="Mumbai"/>
    <x v="2"/>
    <x v="7"/>
    <n v="79"/>
    <x v="1"/>
    <s v="Suresh"/>
    <n v="3160"/>
  </r>
  <r>
    <x v="8"/>
    <s v="Vikram Nair"/>
    <s v="Bangalore"/>
    <x v="1"/>
    <x v="8"/>
    <n v="99"/>
    <x v="1"/>
    <s v="Ravi"/>
    <n v="8910"/>
  </r>
  <r>
    <x v="9"/>
    <s v="Anjali Singh"/>
    <s v="Delhi"/>
    <x v="4"/>
    <x v="9"/>
    <n v="149"/>
    <x v="1"/>
    <s v="Suresh"/>
    <n v="5215"/>
  </r>
  <r>
    <x v="10"/>
    <s v="Manoj Yadav"/>
    <s v="Mumbai"/>
    <x v="0"/>
    <x v="10"/>
    <n v="399"/>
    <x v="1"/>
    <s v="Ravi"/>
    <n v="19950"/>
  </r>
  <r>
    <x v="11"/>
    <s v="Priya Shah"/>
    <s v="Chennai"/>
    <x v="1"/>
    <x v="11"/>
    <n v="99"/>
    <x v="1"/>
    <s v="Suresh"/>
    <n v="6435"/>
  </r>
  <r>
    <x v="12"/>
    <s v="Kiran Rao"/>
    <s v="Hyderabad"/>
    <x v="3"/>
    <x v="12"/>
    <n v="249"/>
    <x v="1"/>
    <s v="Ravi"/>
    <n v="4980"/>
  </r>
  <r>
    <x v="13"/>
    <s v="Vikram Nair"/>
    <s v="Bangalore"/>
    <x v="1"/>
    <x v="8"/>
    <n v="99"/>
    <x v="1"/>
    <s v="Ravi"/>
    <n v="89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73AC74-89B9-4758-8BA1-93C0497B78B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8" firstHeaderRow="1" firstDataRow="1" firstDataCol="1" rowPageCount="1" colPageCount="1"/>
  <pivotFields count="9">
    <pivotField axis="axisRow" showAll="0">
      <items count="15">
        <item x="0"/>
        <item x="1"/>
        <item x="2"/>
        <item x="3"/>
        <item x="4"/>
        <item x="5"/>
        <item x="6"/>
        <item x="7"/>
        <item x="8"/>
        <item x="9"/>
        <item x="10"/>
        <item x="11"/>
        <item x="12"/>
        <item x="13"/>
        <item t="default"/>
      </items>
    </pivotField>
    <pivotField showAll="0"/>
    <pivotField showAll="0"/>
    <pivotField showAll="0">
      <items count="6">
        <item x="0"/>
        <item x="4"/>
        <item x="3"/>
        <item x="2"/>
        <item x="1"/>
        <item t="default"/>
      </items>
    </pivotField>
    <pivotField showAll="0">
      <items count="14">
        <item x="12"/>
        <item x="3"/>
        <item x="4"/>
        <item x="9"/>
        <item x="7"/>
        <item x="0"/>
        <item x="10"/>
        <item x="5"/>
        <item x="2"/>
        <item x="11"/>
        <item x="6"/>
        <item x="1"/>
        <item x="8"/>
        <item t="default"/>
      </items>
    </pivotField>
    <pivotField showAll="0"/>
    <pivotField axis="axisPage" showAll="0">
      <items count="3">
        <item x="0"/>
        <item x="1"/>
        <item t="default"/>
      </items>
    </pivotField>
    <pivotField showAll="0"/>
    <pivotField dataField="1" showAll="0"/>
  </pivotFields>
  <rowFields count="1">
    <field x="0"/>
  </rowFields>
  <rowItems count="15">
    <i>
      <x/>
    </i>
    <i>
      <x v="1"/>
    </i>
    <i>
      <x v="2"/>
    </i>
    <i>
      <x v="3"/>
    </i>
    <i>
      <x v="4"/>
    </i>
    <i>
      <x v="5"/>
    </i>
    <i>
      <x v="6"/>
    </i>
    <i>
      <x v="7"/>
    </i>
    <i>
      <x v="8"/>
    </i>
    <i>
      <x v="9"/>
    </i>
    <i>
      <x v="10"/>
    </i>
    <i>
      <x v="11"/>
    </i>
    <i>
      <x v="12"/>
    </i>
    <i>
      <x v="13"/>
    </i>
    <i t="grand">
      <x/>
    </i>
  </rowItems>
  <colItems count="1">
    <i/>
  </colItems>
  <pageFields count="1">
    <pageField fld="6" hier="-1"/>
  </pageFields>
  <dataFields count="1">
    <dataField name="Sum of Revenue (₹)" fld="8" showDataAs="percentOfTotal" baseField="0" baseItem="2"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
  <sheetViews>
    <sheetView workbookViewId="0">
      <selection activeCell="A5" sqref="A5:E7"/>
    </sheetView>
  </sheetViews>
  <sheetFormatPr defaultRowHeight="14.4" x14ac:dyDescent="0.3"/>
  <cols>
    <col min="1" max="1" width="22" customWidth="1"/>
    <col min="2" max="2" width="30" customWidth="1"/>
    <col min="3" max="3" width="28" customWidth="1"/>
    <col min="4" max="5" width="15" customWidth="1"/>
  </cols>
  <sheetData>
    <row r="1" spans="1:5" ht="37.950000000000003" customHeight="1" x14ac:dyDescent="0.3">
      <c r="A1" s="43" t="s">
        <v>0</v>
      </c>
      <c r="B1" s="32"/>
      <c r="C1" s="32"/>
      <c r="D1" s="32"/>
      <c r="E1" s="32"/>
    </row>
    <row r="2" spans="1:5" ht="22.05" customHeight="1" x14ac:dyDescent="0.3">
      <c r="A2" s="49" t="s">
        <v>1</v>
      </c>
      <c r="B2" s="32"/>
      <c r="C2" s="32"/>
      <c r="D2" s="32"/>
      <c r="E2" s="32"/>
    </row>
    <row r="4" spans="1:5" ht="25.95" customHeight="1" x14ac:dyDescent="0.3">
      <c r="A4" s="47" t="s">
        <v>2</v>
      </c>
      <c r="B4" s="32"/>
      <c r="C4" s="32"/>
      <c r="D4" s="32"/>
      <c r="E4" s="32"/>
    </row>
    <row r="5" spans="1:5" ht="22.05" customHeight="1" x14ac:dyDescent="0.3">
      <c r="A5" s="50" t="s">
        <v>3</v>
      </c>
      <c r="B5" s="32"/>
      <c r="C5" s="32"/>
      <c r="D5" s="32"/>
      <c r="E5" s="32"/>
    </row>
    <row r="6" spans="1:5" ht="22.05" customHeight="1" x14ac:dyDescent="0.3">
      <c r="A6" s="32"/>
      <c r="B6" s="32"/>
      <c r="C6" s="32"/>
      <c r="D6" s="32"/>
      <c r="E6" s="32"/>
    </row>
    <row r="7" spans="1:5" ht="22.05" customHeight="1" x14ac:dyDescent="0.3">
      <c r="A7" s="32"/>
      <c r="B7" s="32"/>
      <c r="C7" s="32"/>
      <c r="D7" s="32"/>
      <c r="E7" s="32"/>
    </row>
    <row r="9" spans="1:5" ht="25.95" customHeight="1" x14ac:dyDescent="0.3">
      <c r="A9" s="45" t="s">
        <v>4</v>
      </c>
      <c r="B9" s="32"/>
      <c r="C9" s="32"/>
      <c r="D9" s="32"/>
      <c r="E9" s="32"/>
    </row>
    <row r="10" spans="1:5" ht="22.05" customHeight="1" x14ac:dyDescent="0.3">
      <c r="A10" s="46" t="s">
        <v>5</v>
      </c>
      <c r="B10" s="32"/>
      <c r="C10" s="32"/>
      <c r="D10" s="32"/>
      <c r="E10" s="32"/>
    </row>
    <row r="11" spans="1:5" ht="22.05" customHeight="1" x14ac:dyDescent="0.3">
      <c r="A11" s="32"/>
      <c r="B11" s="32"/>
      <c r="C11" s="32"/>
      <c r="D11" s="32"/>
      <c r="E11" s="32"/>
    </row>
    <row r="12" spans="1:5" ht="22.05" customHeight="1" x14ac:dyDescent="0.3">
      <c r="A12" s="32"/>
      <c r="B12" s="32"/>
      <c r="C12" s="32"/>
      <c r="D12" s="32"/>
      <c r="E12" s="32"/>
    </row>
    <row r="14" spans="1:5" ht="25.95" customHeight="1" x14ac:dyDescent="0.3">
      <c r="A14" s="44" t="s">
        <v>6</v>
      </c>
      <c r="B14" s="32"/>
      <c r="C14" s="32"/>
      <c r="D14" s="32"/>
      <c r="E14" s="32"/>
    </row>
    <row r="15" spans="1:5" ht="22.05" customHeight="1" x14ac:dyDescent="0.3">
      <c r="A15" s="50" t="s">
        <v>7</v>
      </c>
      <c r="B15" s="32"/>
      <c r="C15" s="32"/>
      <c r="D15" s="32"/>
      <c r="E15" s="32"/>
    </row>
    <row r="16" spans="1:5" ht="22.05" customHeight="1" x14ac:dyDescent="0.3">
      <c r="A16" s="32"/>
      <c r="B16" s="32"/>
      <c r="C16" s="32"/>
      <c r="D16" s="32"/>
      <c r="E16" s="32"/>
    </row>
    <row r="17" spans="1:5" ht="22.05" customHeight="1" x14ac:dyDescent="0.3">
      <c r="A17" s="32"/>
      <c r="B17" s="32"/>
      <c r="C17" s="32"/>
      <c r="D17" s="32"/>
      <c r="E17" s="32"/>
    </row>
    <row r="20" spans="1:5" ht="24" customHeight="1" x14ac:dyDescent="0.3">
      <c r="A20" s="48" t="s">
        <v>8</v>
      </c>
      <c r="B20" s="32"/>
      <c r="C20" s="32"/>
      <c r="D20" s="32"/>
      <c r="E20" s="32"/>
    </row>
    <row r="21" spans="1:5" ht="19.95" customHeight="1" x14ac:dyDescent="0.3">
      <c r="A21" s="1" t="s">
        <v>9</v>
      </c>
      <c r="B21" s="2" t="s">
        <v>10</v>
      </c>
      <c r="C21" s="42" t="s">
        <v>11</v>
      </c>
      <c r="D21" s="41"/>
      <c r="E21" s="41"/>
    </row>
    <row r="22" spans="1:5" ht="19.95" customHeight="1" x14ac:dyDescent="0.3">
      <c r="A22" s="3" t="s">
        <v>12</v>
      </c>
      <c r="B22" s="4" t="s">
        <v>13</v>
      </c>
      <c r="C22" s="40" t="s">
        <v>14</v>
      </c>
      <c r="D22" s="41"/>
      <c r="E22" s="41"/>
    </row>
    <row r="23" spans="1:5" ht="19.95" customHeight="1" x14ac:dyDescent="0.3">
      <c r="A23" s="1" t="s">
        <v>15</v>
      </c>
      <c r="B23" s="2" t="s">
        <v>16</v>
      </c>
      <c r="C23" s="42" t="s">
        <v>17</v>
      </c>
      <c r="D23" s="41"/>
      <c r="E23" s="41"/>
    </row>
    <row r="24" spans="1:5" ht="19.95" customHeight="1" x14ac:dyDescent="0.3">
      <c r="A24" s="3" t="s">
        <v>18</v>
      </c>
      <c r="B24" s="4" t="s">
        <v>19</v>
      </c>
      <c r="C24" s="40" t="s">
        <v>20</v>
      </c>
      <c r="D24" s="41"/>
      <c r="E24" s="41"/>
    </row>
    <row r="27" spans="1:5" ht="36" customHeight="1" x14ac:dyDescent="0.3">
      <c r="A27" s="39" t="s">
        <v>21</v>
      </c>
      <c r="B27" s="32"/>
      <c r="C27" s="32"/>
      <c r="D27" s="32"/>
      <c r="E27" s="32"/>
    </row>
  </sheetData>
  <mergeCells count="14">
    <mergeCell ref="A27:E27"/>
    <mergeCell ref="C24:E24"/>
    <mergeCell ref="C23:E23"/>
    <mergeCell ref="C22:E22"/>
    <mergeCell ref="A1:E1"/>
    <mergeCell ref="A14:E14"/>
    <mergeCell ref="C21:E21"/>
    <mergeCell ref="A9:E9"/>
    <mergeCell ref="A10:E12"/>
    <mergeCell ref="A4:E4"/>
    <mergeCell ref="A20:E20"/>
    <mergeCell ref="A2:E2"/>
    <mergeCell ref="A15:E17"/>
    <mergeCell ref="A5:E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3"/>
  <sheetViews>
    <sheetView tabSelected="1" topLeftCell="A10" workbookViewId="0">
      <selection activeCell="I25" sqref="I25"/>
    </sheetView>
  </sheetViews>
  <sheetFormatPr defaultRowHeight="14.4" x14ac:dyDescent="0.3"/>
  <cols>
    <col min="1" max="1" width="10" customWidth="1"/>
    <col min="2" max="2" width="18" customWidth="1"/>
    <col min="3" max="3" width="13" customWidth="1"/>
    <col min="4" max="4" width="14" customWidth="1"/>
    <col min="5" max="5" width="12" customWidth="1"/>
    <col min="6" max="6" width="15" customWidth="1"/>
    <col min="7" max="7" width="11" customWidth="1"/>
    <col min="8" max="8" width="10" customWidth="1"/>
    <col min="9" max="9" width="48" customWidth="1"/>
  </cols>
  <sheetData>
    <row r="1" spans="1:9" ht="31.95" customHeight="1" x14ac:dyDescent="0.3">
      <c r="A1" s="51" t="s">
        <v>22</v>
      </c>
      <c r="B1" s="32"/>
      <c r="C1" s="32"/>
      <c r="D1" s="32"/>
      <c r="E1" s="32"/>
      <c r="F1" s="32"/>
      <c r="G1" s="32"/>
      <c r="H1" s="32"/>
    </row>
    <row r="2" spans="1:9" ht="19.95" customHeight="1" x14ac:dyDescent="0.3">
      <c r="A2" s="49" t="s">
        <v>23</v>
      </c>
      <c r="B2" s="32"/>
      <c r="C2" s="32"/>
      <c r="D2" s="32"/>
      <c r="E2" s="32"/>
      <c r="F2" s="32"/>
      <c r="G2" s="32"/>
      <c r="H2" s="32"/>
    </row>
    <row r="3" spans="1:9" ht="22.05" customHeight="1" x14ac:dyDescent="0.3">
      <c r="A3" s="5" t="s">
        <v>24</v>
      </c>
      <c r="B3" s="5" t="s">
        <v>25</v>
      </c>
      <c r="C3" s="5" t="s">
        <v>26</v>
      </c>
      <c r="D3" s="5" t="s">
        <v>27</v>
      </c>
      <c r="E3" s="5" t="s">
        <v>28</v>
      </c>
      <c r="F3" s="5" t="s">
        <v>29</v>
      </c>
      <c r="G3" s="5" t="s">
        <v>30</v>
      </c>
      <c r="H3" s="5" t="s">
        <v>31</v>
      </c>
      <c r="I3" s="6" t="s">
        <v>32</v>
      </c>
    </row>
    <row r="4" spans="1:9" ht="18" customHeight="1" x14ac:dyDescent="0.3">
      <c r="A4" s="7" t="s">
        <v>33</v>
      </c>
      <c r="B4" s="7" t="s">
        <v>34</v>
      </c>
      <c r="C4" s="7" t="s">
        <v>35</v>
      </c>
      <c r="D4" s="7" t="s">
        <v>36</v>
      </c>
      <c r="E4" s="7">
        <v>45</v>
      </c>
      <c r="F4" s="7">
        <v>399</v>
      </c>
      <c r="G4" s="7" t="s">
        <v>37</v>
      </c>
      <c r="H4" s="7" t="s">
        <v>38</v>
      </c>
    </row>
    <row r="5" spans="1:9" ht="18" customHeight="1" x14ac:dyDescent="0.3">
      <c r="A5" s="8" t="s">
        <v>39</v>
      </c>
      <c r="B5" s="8" t="s">
        <v>40</v>
      </c>
      <c r="C5" s="8" t="s">
        <v>68</v>
      </c>
      <c r="D5" s="8" t="s">
        <v>41</v>
      </c>
      <c r="E5" s="8">
        <v>80</v>
      </c>
      <c r="F5" s="8">
        <v>99</v>
      </c>
      <c r="G5" s="8" t="s">
        <v>37</v>
      </c>
      <c r="H5" s="8" t="s">
        <v>42</v>
      </c>
    </row>
    <row r="6" spans="1:9" ht="28.05" customHeight="1" x14ac:dyDescent="0.3">
      <c r="A6" s="7" t="s">
        <v>43</v>
      </c>
      <c r="B6" s="7" t="s">
        <v>136</v>
      </c>
      <c r="C6" s="7" t="s">
        <v>44</v>
      </c>
      <c r="D6" s="7" t="s">
        <v>45</v>
      </c>
      <c r="E6" s="7"/>
      <c r="F6" s="7">
        <v>149</v>
      </c>
      <c r="G6" s="7" t="s">
        <v>37</v>
      </c>
      <c r="H6" s="7" t="s">
        <v>38</v>
      </c>
      <c r="I6" s="9" t="s">
        <v>46</v>
      </c>
    </row>
    <row r="7" spans="1:9" ht="28.05" customHeight="1" x14ac:dyDescent="0.3">
      <c r="A7" s="8" t="s">
        <v>47</v>
      </c>
      <c r="B7" s="8" t="s">
        <v>48</v>
      </c>
      <c r="C7" s="8" t="s">
        <v>35</v>
      </c>
      <c r="D7" s="8" t="s">
        <v>49</v>
      </c>
      <c r="E7" s="8">
        <v>60</v>
      </c>
      <c r="F7" s="8">
        <v>79</v>
      </c>
      <c r="G7" s="8" t="s">
        <v>37</v>
      </c>
      <c r="H7" s="8" t="s">
        <v>50</v>
      </c>
      <c r="I7" s="9" t="s">
        <v>51</v>
      </c>
    </row>
    <row r="8" spans="1:9" ht="28.05" customHeight="1" x14ac:dyDescent="0.3">
      <c r="A8" s="7" t="s">
        <v>52</v>
      </c>
      <c r="B8" s="7" t="s">
        <v>53</v>
      </c>
      <c r="C8" s="7" t="s">
        <v>86</v>
      </c>
      <c r="D8" s="7" t="s">
        <v>54</v>
      </c>
      <c r="E8" s="7">
        <v>25</v>
      </c>
      <c r="F8" s="7">
        <v>249</v>
      </c>
      <c r="G8" s="7" t="s">
        <v>37</v>
      </c>
      <c r="H8" s="7" t="s">
        <v>42</v>
      </c>
      <c r="I8" s="9" t="s">
        <v>55</v>
      </c>
    </row>
    <row r="9" spans="1:9" ht="28.05" customHeight="1" x14ac:dyDescent="0.3">
      <c r="A9" s="8" t="s">
        <v>56</v>
      </c>
      <c r="B9" s="8" t="s">
        <v>34</v>
      </c>
      <c r="C9" s="8" t="s">
        <v>35</v>
      </c>
      <c r="D9" s="8" t="s">
        <v>36</v>
      </c>
      <c r="E9" s="8">
        <v>30</v>
      </c>
      <c r="F9" s="8">
        <v>399</v>
      </c>
      <c r="G9" s="8" t="s">
        <v>37</v>
      </c>
      <c r="H9" s="8" t="s">
        <v>38</v>
      </c>
      <c r="I9" s="9" t="s">
        <v>58</v>
      </c>
    </row>
    <row r="10" spans="1:9" ht="18" customHeight="1" x14ac:dyDescent="0.3">
      <c r="A10" s="7" t="s">
        <v>59</v>
      </c>
      <c r="B10" s="7" t="s">
        <v>135</v>
      </c>
      <c r="C10" s="7" t="s">
        <v>60</v>
      </c>
      <c r="D10" s="7" t="s">
        <v>41</v>
      </c>
      <c r="E10" s="7" t="s">
        <v>61</v>
      </c>
      <c r="F10" s="7">
        <v>99</v>
      </c>
      <c r="G10" s="7" t="s">
        <v>37</v>
      </c>
      <c r="H10" s="7" t="s">
        <v>50</v>
      </c>
    </row>
    <row r="11" spans="1:9" ht="28.05" customHeight="1" x14ac:dyDescent="0.3">
      <c r="A11" s="8" t="s">
        <v>62</v>
      </c>
      <c r="B11" s="8" t="s">
        <v>63</v>
      </c>
      <c r="C11" s="8" t="s">
        <v>64</v>
      </c>
      <c r="D11" s="8" t="s">
        <v>45</v>
      </c>
      <c r="E11" s="8">
        <v>55</v>
      </c>
      <c r="F11" s="8">
        <v>149</v>
      </c>
      <c r="G11" s="8" t="s">
        <v>37</v>
      </c>
      <c r="H11" s="8" t="s">
        <v>42</v>
      </c>
      <c r="I11" s="9" t="s">
        <v>65</v>
      </c>
    </row>
    <row r="12" spans="1:9" ht="28.05" customHeight="1" x14ac:dyDescent="0.3">
      <c r="A12" s="7" t="s">
        <v>66</v>
      </c>
      <c r="B12" s="7" t="s">
        <v>67</v>
      </c>
      <c r="C12" s="7" t="s">
        <v>68</v>
      </c>
      <c r="D12" s="7" t="s">
        <v>36</v>
      </c>
      <c r="E12" s="7">
        <v>70</v>
      </c>
      <c r="F12" s="7">
        <v>399</v>
      </c>
      <c r="G12" s="7" t="s">
        <v>69</v>
      </c>
      <c r="H12" s="7" t="s">
        <v>38</v>
      </c>
      <c r="I12" s="9" t="s">
        <v>70</v>
      </c>
    </row>
    <row r="13" spans="1:9" ht="28.05" customHeight="1" x14ac:dyDescent="0.3">
      <c r="A13" s="8" t="s">
        <v>71</v>
      </c>
      <c r="B13" s="8" t="s">
        <v>72</v>
      </c>
      <c r="C13" s="8" t="s">
        <v>35</v>
      </c>
      <c r="D13" s="8" t="s">
        <v>49</v>
      </c>
      <c r="E13" s="8">
        <v>40</v>
      </c>
      <c r="F13" s="8">
        <v>79</v>
      </c>
      <c r="G13" s="8" t="s">
        <v>69</v>
      </c>
      <c r="H13" s="8" t="s">
        <v>50</v>
      </c>
      <c r="I13" s="9" t="s">
        <v>73</v>
      </c>
    </row>
    <row r="14" spans="1:9" ht="18" customHeight="1" x14ac:dyDescent="0.3">
      <c r="A14" s="7" t="s">
        <v>74</v>
      </c>
      <c r="B14" s="7" t="s">
        <v>75</v>
      </c>
      <c r="C14" s="7" t="s">
        <v>76</v>
      </c>
      <c r="D14" s="7" t="s">
        <v>54</v>
      </c>
      <c r="E14" s="7"/>
      <c r="F14" s="7">
        <v>249</v>
      </c>
      <c r="G14" s="7" t="s">
        <v>69</v>
      </c>
      <c r="H14" s="7" t="s">
        <v>38</v>
      </c>
    </row>
    <row r="15" spans="1:9" ht="18" customHeight="1" x14ac:dyDescent="0.3">
      <c r="A15" s="8" t="s">
        <v>77</v>
      </c>
      <c r="B15" s="8" t="s">
        <v>78</v>
      </c>
      <c r="C15" s="8" t="s">
        <v>44</v>
      </c>
      <c r="D15" s="8" t="s">
        <v>41</v>
      </c>
      <c r="E15" s="8">
        <v>90</v>
      </c>
      <c r="F15" s="8">
        <v>99</v>
      </c>
      <c r="G15" s="8" t="s">
        <v>69</v>
      </c>
      <c r="H15" s="8" t="s">
        <v>42</v>
      </c>
    </row>
    <row r="16" spans="1:9" ht="28.05" customHeight="1" x14ac:dyDescent="0.3">
      <c r="A16" s="7" t="s">
        <v>79</v>
      </c>
      <c r="B16" s="7" t="s">
        <v>40</v>
      </c>
      <c r="C16" s="7" t="s">
        <v>68</v>
      </c>
      <c r="D16" s="7" t="s">
        <v>45</v>
      </c>
      <c r="E16" s="7">
        <v>35</v>
      </c>
      <c r="F16" s="7">
        <v>149</v>
      </c>
      <c r="G16" s="7" t="s">
        <v>69</v>
      </c>
      <c r="H16" s="7" t="s">
        <v>50</v>
      </c>
      <c r="I16" s="9" t="s">
        <v>80</v>
      </c>
    </row>
    <row r="17" spans="1:9" ht="18" customHeight="1" x14ac:dyDescent="0.3">
      <c r="A17" s="8" t="s">
        <v>81</v>
      </c>
      <c r="B17" s="8" t="s">
        <v>82</v>
      </c>
      <c r="C17" s="8" t="s">
        <v>35</v>
      </c>
      <c r="D17" s="8" t="s">
        <v>36</v>
      </c>
      <c r="E17" s="8">
        <v>50</v>
      </c>
      <c r="F17" s="8">
        <v>399</v>
      </c>
      <c r="G17" s="8" t="s">
        <v>69</v>
      </c>
      <c r="H17" s="8" t="s">
        <v>42</v>
      </c>
    </row>
    <row r="18" spans="1:9" ht="18" customHeight="1" x14ac:dyDescent="0.3">
      <c r="A18" s="7" t="s">
        <v>83</v>
      </c>
      <c r="B18" s="7" t="s">
        <v>136</v>
      </c>
      <c r="C18" s="7" t="s">
        <v>44</v>
      </c>
      <c r="D18" s="7" t="s">
        <v>49</v>
      </c>
      <c r="E18" s="7">
        <v>0</v>
      </c>
      <c r="F18" s="7">
        <v>79</v>
      </c>
      <c r="G18" s="7" t="s">
        <v>69</v>
      </c>
      <c r="H18" s="7" t="s">
        <v>38</v>
      </c>
    </row>
    <row r="19" spans="1:9" ht="28.05" customHeight="1" x14ac:dyDescent="0.3">
      <c r="A19" s="8" t="s">
        <v>84</v>
      </c>
      <c r="B19" s="8" t="s">
        <v>85</v>
      </c>
      <c r="C19" s="8" t="s">
        <v>86</v>
      </c>
      <c r="D19" s="8" t="s">
        <v>41</v>
      </c>
      <c r="E19" s="8">
        <v>65</v>
      </c>
      <c r="F19" s="8">
        <v>99</v>
      </c>
      <c r="G19" s="8" t="s">
        <v>69</v>
      </c>
      <c r="H19" s="8" t="s">
        <v>50</v>
      </c>
      <c r="I19" s="9" t="s">
        <v>87</v>
      </c>
    </row>
    <row r="20" spans="1:9" ht="28.05" customHeight="1" x14ac:dyDescent="0.3">
      <c r="A20" s="7" t="s">
        <v>88</v>
      </c>
      <c r="B20" s="7" t="s">
        <v>63</v>
      </c>
      <c r="C20" s="7" t="s">
        <v>64</v>
      </c>
      <c r="D20" s="7" t="s">
        <v>54</v>
      </c>
      <c r="E20" s="7">
        <v>20</v>
      </c>
      <c r="F20" s="7">
        <v>249</v>
      </c>
      <c r="G20" s="7" t="s">
        <v>69</v>
      </c>
      <c r="H20" s="7" t="s">
        <v>42</v>
      </c>
      <c r="I20" s="9" t="s">
        <v>89</v>
      </c>
    </row>
    <row r="21" spans="1:9" ht="28.05" customHeight="1" x14ac:dyDescent="0.3">
      <c r="A21" s="8" t="s">
        <v>90</v>
      </c>
      <c r="B21" s="8" t="s">
        <v>91</v>
      </c>
      <c r="C21" s="8" t="s">
        <v>35</v>
      </c>
      <c r="D21" s="8" t="s">
        <v>36</v>
      </c>
      <c r="E21" s="8"/>
      <c r="F21" s="8">
        <v>399</v>
      </c>
      <c r="G21" s="8" t="s">
        <v>69</v>
      </c>
      <c r="H21" s="8" t="s">
        <v>38</v>
      </c>
      <c r="I21" s="9" t="s">
        <v>92</v>
      </c>
    </row>
    <row r="22" spans="1:9" ht="18" customHeight="1" x14ac:dyDescent="0.3">
      <c r="A22" s="7" t="s">
        <v>93</v>
      </c>
      <c r="B22" s="7" t="s">
        <v>48</v>
      </c>
      <c r="C22" s="7" t="s">
        <v>35</v>
      </c>
      <c r="D22" s="7" t="s">
        <v>49</v>
      </c>
      <c r="E22" s="7">
        <v>30</v>
      </c>
      <c r="F22" s="7">
        <v>79</v>
      </c>
      <c r="G22" s="7" t="s">
        <v>94</v>
      </c>
      <c r="H22" s="7" t="s">
        <v>50</v>
      </c>
    </row>
    <row r="23" spans="1:9" ht="18" customHeight="1" x14ac:dyDescent="0.3">
      <c r="A23" s="8" t="s">
        <v>95</v>
      </c>
      <c r="B23" s="8" t="s">
        <v>78</v>
      </c>
      <c r="C23" s="8" t="s">
        <v>44</v>
      </c>
      <c r="D23" s="8" t="s">
        <v>41</v>
      </c>
      <c r="E23" s="8">
        <v>90</v>
      </c>
      <c r="F23" s="8">
        <v>99</v>
      </c>
      <c r="G23" s="8" t="s">
        <v>69</v>
      </c>
      <c r="H23" s="8" t="s">
        <v>42</v>
      </c>
    </row>
  </sheetData>
  <mergeCells count="2">
    <mergeCell ref="A2:H2"/>
    <mergeCell ref="A1:H1"/>
  </mergeCells>
  <conditionalFormatting sqref="A1:A1048576">
    <cfRule type="duplicateValues" dxfId="12" priority="1"/>
    <cfRule type="duplicateValues" dxfId="11" priority="2"/>
  </conditionalFormatting>
  <conditionalFormatting sqref="A3">
    <cfRule type="duplicateValues" dxfId="10" priority="3"/>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75AE6-055A-403F-B7AA-46BD6FF101E5}">
  <dimension ref="A1:B18"/>
  <sheetViews>
    <sheetView workbookViewId="0">
      <selection activeCell="I19" sqref="I19"/>
    </sheetView>
  </sheetViews>
  <sheetFormatPr defaultRowHeight="14.4" x14ac:dyDescent="0.3"/>
  <cols>
    <col min="1" max="1" width="12.5546875" bestFit="1" customWidth="1"/>
    <col min="2" max="2" width="17.77734375" bestFit="1" customWidth="1"/>
    <col min="3" max="3" width="16" bestFit="1" customWidth="1"/>
    <col min="4" max="6" width="6" bestFit="1" customWidth="1"/>
    <col min="7" max="8" width="7" bestFit="1" customWidth="1"/>
    <col min="9" max="11" width="6" bestFit="1" customWidth="1"/>
    <col min="12" max="12" width="7" bestFit="1" customWidth="1"/>
    <col min="13" max="13" width="6" bestFit="1" customWidth="1"/>
    <col min="14" max="14" width="7" bestFit="1" customWidth="1"/>
    <col min="15" max="15" width="10.77734375" bestFit="1" customWidth="1"/>
    <col min="16" max="16" width="17.77734375" bestFit="1" customWidth="1"/>
    <col min="17" max="17" width="14.6640625" bestFit="1" customWidth="1"/>
    <col min="18" max="18" width="17.77734375" bestFit="1" customWidth="1"/>
    <col min="19" max="19" width="14.6640625" bestFit="1" customWidth="1"/>
    <col min="20" max="20" width="17.77734375" bestFit="1" customWidth="1"/>
    <col min="21" max="21" width="14.6640625" bestFit="1" customWidth="1"/>
    <col min="22" max="22" width="17.77734375" bestFit="1" customWidth="1"/>
    <col min="23" max="23" width="14.6640625" bestFit="1" customWidth="1"/>
    <col min="24" max="24" width="17.77734375" bestFit="1" customWidth="1"/>
    <col min="25" max="25" width="14.6640625" bestFit="1" customWidth="1"/>
    <col min="26" max="26" width="17.77734375" bestFit="1" customWidth="1"/>
    <col min="27" max="27" width="14.6640625" bestFit="1" customWidth="1"/>
    <col min="28" max="28" width="22.5546875" bestFit="1" customWidth="1"/>
    <col min="29" max="29" width="19.44140625" bestFit="1" customWidth="1"/>
  </cols>
  <sheetData>
    <row r="1" spans="1:2" x14ac:dyDescent="0.3">
      <c r="A1" s="26" t="s">
        <v>30</v>
      </c>
      <c r="B1" t="s">
        <v>149</v>
      </c>
    </row>
    <row r="3" spans="1:2" x14ac:dyDescent="0.3">
      <c r="A3" s="26" t="s">
        <v>143</v>
      </c>
      <c r="B3" t="s">
        <v>145</v>
      </c>
    </row>
    <row r="4" spans="1:2" x14ac:dyDescent="0.3">
      <c r="A4" s="27" t="s">
        <v>33</v>
      </c>
      <c r="B4" s="28">
        <v>0.12600442120776167</v>
      </c>
    </row>
    <row r="5" spans="1:2" x14ac:dyDescent="0.3">
      <c r="A5" s="27" t="s">
        <v>39</v>
      </c>
      <c r="B5" s="28">
        <v>5.5580897575353519E-2</v>
      </c>
    </row>
    <row r="6" spans="1:2" x14ac:dyDescent="0.3">
      <c r="A6" s="27" t="s">
        <v>47</v>
      </c>
      <c r="B6" s="28">
        <v>3.3264325064037335E-2</v>
      </c>
    </row>
    <row r="7" spans="1:2" x14ac:dyDescent="0.3">
      <c r="A7" s="27" t="s">
        <v>52</v>
      </c>
      <c r="B7" s="28">
        <v>4.3685743359416121E-2</v>
      </c>
    </row>
    <row r="8" spans="1:2" x14ac:dyDescent="0.3">
      <c r="A8" s="27" t="s">
        <v>56</v>
      </c>
      <c r="B8" s="28">
        <v>8.4002947471841116E-2</v>
      </c>
    </row>
    <row r="9" spans="1:2" x14ac:dyDescent="0.3">
      <c r="A9" s="27" t="s">
        <v>62</v>
      </c>
      <c r="B9" s="28">
        <v>5.7510789852275521E-2</v>
      </c>
    </row>
    <row r="10" spans="1:2" x14ac:dyDescent="0.3">
      <c r="A10" s="27" t="s">
        <v>66</v>
      </c>
      <c r="B10" s="28">
        <v>0.19600687743429593</v>
      </c>
    </row>
    <row r="11" spans="1:2" x14ac:dyDescent="0.3">
      <c r="A11" s="27" t="s">
        <v>71</v>
      </c>
      <c r="B11" s="28">
        <v>2.2176216709358224E-2</v>
      </c>
    </row>
    <row r="12" spans="1:2" x14ac:dyDescent="0.3">
      <c r="A12" s="27" t="s">
        <v>77</v>
      </c>
      <c r="B12" s="28">
        <v>6.2528509772272714E-2</v>
      </c>
    </row>
    <row r="13" spans="1:2" x14ac:dyDescent="0.3">
      <c r="A13" s="27" t="s">
        <v>79</v>
      </c>
      <c r="B13" s="28">
        <v>3.6597775360538966E-2</v>
      </c>
    </row>
    <row r="14" spans="1:2" x14ac:dyDescent="0.3">
      <c r="A14" s="27" t="s">
        <v>81</v>
      </c>
      <c r="B14" s="28">
        <v>0.14000491245306854</v>
      </c>
    </row>
    <row r="15" spans="1:2" x14ac:dyDescent="0.3">
      <c r="A15" s="27" t="s">
        <v>84</v>
      </c>
      <c r="B15" s="28">
        <v>4.5159479279974733E-2</v>
      </c>
    </row>
    <row r="16" spans="1:2" x14ac:dyDescent="0.3">
      <c r="A16" s="27" t="s">
        <v>88</v>
      </c>
      <c r="B16" s="28">
        <v>3.4948594687532898E-2</v>
      </c>
    </row>
    <row r="17" spans="1:2" x14ac:dyDescent="0.3">
      <c r="A17" s="27" t="s">
        <v>95</v>
      </c>
      <c r="B17" s="28">
        <v>6.2528509772272714E-2</v>
      </c>
    </row>
    <row r="18" spans="1:2" x14ac:dyDescent="0.3">
      <c r="A18" s="27" t="s">
        <v>144</v>
      </c>
      <c r="B18" s="28">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3"/>
  <sheetViews>
    <sheetView topLeftCell="A4" workbookViewId="0">
      <selection activeCell="J12" sqref="J12"/>
    </sheetView>
  </sheetViews>
  <sheetFormatPr defaultRowHeight="14.4" x14ac:dyDescent="0.3"/>
  <cols>
    <col min="1" max="1" width="10" customWidth="1"/>
    <col min="2" max="2" width="18" customWidth="1"/>
    <col min="3" max="3" width="13" customWidth="1"/>
    <col min="4" max="4" width="14" customWidth="1"/>
    <col min="5" max="5" width="12" customWidth="1"/>
    <col min="6" max="6" width="15" customWidth="1"/>
    <col min="7" max="7" width="12" customWidth="1"/>
    <col min="8" max="8" width="10" customWidth="1"/>
    <col min="9" max="9" width="14" customWidth="1"/>
    <col min="10" max="10" width="18.6640625" customWidth="1"/>
  </cols>
  <sheetData>
    <row r="1" spans="1:9" ht="28.05" customHeight="1" x14ac:dyDescent="0.3">
      <c r="A1" s="52" t="s">
        <v>96</v>
      </c>
      <c r="B1" s="32"/>
      <c r="C1" s="32"/>
      <c r="D1" s="32"/>
      <c r="E1" s="32"/>
      <c r="F1" s="32"/>
      <c r="G1" s="32"/>
      <c r="H1" s="32"/>
      <c r="I1" s="32"/>
    </row>
    <row r="2" spans="1:9" ht="19.95" customHeight="1" x14ac:dyDescent="0.3">
      <c r="A2" s="56" t="s">
        <v>97</v>
      </c>
      <c r="B2" s="32"/>
      <c r="C2" s="32"/>
      <c r="D2" s="32"/>
      <c r="E2" s="32"/>
      <c r="F2" s="32"/>
      <c r="G2" s="32"/>
      <c r="H2" s="32"/>
      <c r="I2" s="32"/>
    </row>
    <row r="3" spans="1:9" ht="19.95" customHeight="1" x14ac:dyDescent="0.3">
      <c r="A3" s="53" t="s">
        <v>98</v>
      </c>
      <c r="B3" s="32"/>
      <c r="C3" s="32"/>
      <c r="D3" s="32"/>
      <c r="E3" s="32"/>
      <c r="F3" s="32"/>
      <c r="G3" s="32"/>
      <c r="H3" s="32"/>
      <c r="I3" s="32"/>
    </row>
    <row r="4" spans="1:9" ht="19.95" customHeight="1" x14ac:dyDescent="0.3">
      <c r="A4" s="53" t="s">
        <v>99</v>
      </c>
      <c r="B4" s="32"/>
      <c r="C4" s="32"/>
      <c r="D4" s="32"/>
      <c r="E4" s="32"/>
      <c r="F4" s="32"/>
      <c r="G4" s="32"/>
      <c r="H4" s="32"/>
      <c r="I4" s="32"/>
    </row>
    <row r="5" spans="1:9" ht="19.95" customHeight="1" x14ac:dyDescent="0.3">
      <c r="A5" s="53" t="s">
        <v>100</v>
      </c>
      <c r="B5" s="32"/>
      <c r="C5" s="32"/>
      <c r="D5" s="32"/>
      <c r="E5" s="32"/>
      <c r="F5" s="32"/>
      <c r="G5" s="32"/>
      <c r="H5" s="32"/>
      <c r="I5" s="32"/>
    </row>
    <row r="6" spans="1:9" ht="19.95" customHeight="1" x14ac:dyDescent="0.3">
      <c r="A6" s="53" t="s">
        <v>101</v>
      </c>
      <c r="B6" s="32"/>
      <c r="C6" s="32"/>
      <c r="D6" s="32"/>
      <c r="E6" s="32"/>
      <c r="F6" s="32"/>
      <c r="G6" s="32"/>
      <c r="H6" s="32"/>
      <c r="I6" s="32"/>
    </row>
    <row r="7" spans="1:9" ht="19.95" customHeight="1" x14ac:dyDescent="0.3">
      <c r="A7" s="53" t="s">
        <v>102</v>
      </c>
      <c r="B7" s="32"/>
      <c r="C7" s="32"/>
      <c r="D7" s="32"/>
      <c r="E7" s="32"/>
      <c r="F7" s="32"/>
      <c r="G7" s="32"/>
      <c r="H7" s="32"/>
      <c r="I7" s="32"/>
    </row>
    <row r="8" spans="1:9" ht="19.95" customHeight="1" x14ac:dyDescent="0.3">
      <c r="A8" s="53" t="s">
        <v>103</v>
      </c>
      <c r="B8" s="32"/>
      <c r="C8" s="32"/>
      <c r="D8" s="32"/>
      <c r="E8" s="32"/>
      <c r="F8" s="32"/>
      <c r="G8" s="32"/>
      <c r="H8" s="32"/>
      <c r="I8" s="32"/>
    </row>
    <row r="9" spans="1:9" ht="22.05" customHeight="1" x14ac:dyDescent="0.3">
      <c r="A9" s="10" t="s">
        <v>24</v>
      </c>
      <c r="B9" s="10" t="s">
        <v>25</v>
      </c>
      <c r="C9" s="10" t="s">
        <v>26</v>
      </c>
      <c r="D9" s="10" t="s">
        <v>27</v>
      </c>
      <c r="E9" s="10" t="s">
        <v>28</v>
      </c>
      <c r="F9" s="10" t="s">
        <v>29</v>
      </c>
      <c r="G9" s="10" t="s">
        <v>30</v>
      </c>
      <c r="H9" s="10" t="s">
        <v>31</v>
      </c>
      <c r="I9" s="10" t="s">
        <v>104</v>
      </c>
    </row>
    <row r="10" spans="1:9" ht="19.95" customHeight="1" x14ac:dyDescent="0.3">
      <c r="A10" s="7" t="s">
        <v>33</v>
      </c>
      <c r="B10" s="7" t="s">
        <v>34</v>
      </c>
      <c r="C10" s="7" t="s">
        <v>35</v>
      </c>
      <c r="D10" s="7" t="s">
        <v>36</v>
      </c>
      <c r="E10" s="7">
        <v>45</v>
      </c>
      <c r="F10" s="7">
        <v>399</v>
      </c>
      <c r="G10" s="7" t="s">
        <v>37</v>
      </c>
      <c r="H10" s="7" t="s">
        <v>38</v>
      </c>
      <c r="I10" s="11">
        <f>E10*F10</f>
        <v>17955</v>
      </c>
    </row>
    <row r="11" spans="1:9" ht="19.95" customHeight="1" x14ac:dyDescent="0.3">
      <c r="A11" s="8" t="s">
        <v>39</v>
      </c>
      <c r="B11" s="8" t="s">
        <v>40</v>
      </c>
      <c r="C11" s="8" t="s">
        <v>68</v>
      </c>
      <c r="D11" s="8" t="s">
        <v>41</v>
      </c>
      <c r="E11" s="8">
        <v>80</v>
      </c>
      <c r="F11" s="8">
        <v>99</v>
      </c>
      <c r="G11" s="8" t="s">
        <v>37</v>
      </c>
      <c r="H11" s="8" t="s">
        <v>42</v>
      </c>
      <c r="I11" s="11">
        <f t="shared" ref="I11:I23" si="0">E11*F11</f>
        <v>7920</v>
      </c>
    </row>
    <row r="12" spans="1:9" ht="19.95" customHeight="1" x14ac:dyDescent="0.3">
      <c r="A12" s="8" t="s">
        <v>47</v>
      </c>
      <c r="B12" s="8" t="s">
        <v>48</v>
      </c>
      <c r="C12" s="8" t="s">
        <v>35</v>
      </c>
      <c r="D12" s="8" t="s">
        <v>49</v>
      </c>
      <c r="E12" s="8">
        <v>60</v>
      </c>
      <c r="F12" s="8">
        <v>79</v>
      </c>
      <c r="G12" s="8" t="s">
        <v>37</v>
      </c>
      <c r="H12" s="8" t="s">
        <v>50</v>
      </c>
      <c r="I12" s="11">
        <f t="shared" si="0"/>
        <v>4740</v>
      </c>
    </row>
    <row r="13" spans="1:9" ht="19.95" customHeight="1" x14ac:dyDescent="0.3">
      <c r="A13" s="7" t="s">
        <v>52</v>
      </c>
      <c r="B13" s="7" t="s">
        <v>53</v>
      </c>
      <c r="C13" s="7" t="s">
        <v>86</v>
      </c>
      <c r="D13" s="7" t="s">
        <v>54</v>
      </c>
      <c r="E13" s="7">
        <v>25</v>
      </c>
      <c r="F13" s="7">
        <v>249</v>
      </c>
      <c r="G13" s="7" t="s">
        <v>37</v>
      </c>
      <c r="H13" s="7" t="s">
        <v>42</v>
      </c>
      <c r="I13" s="11">
        <f t="shared" si="0"/>
        <v>6225</v>
      </c>
    </row>
    <row r="14" spans="1:9" ht="19.95" customHeight="1" x14ac:dyDescent="0.3">
      <c r="A14" s="8" t="s">
        <v>56</v>
      </c>
      <c r="B14" s="8" t="s">
        <v>57</v>
      </c>
      <c r="C14" s="8" t="s">
        <v>35</v>
      </c>
      <c r="D14" s="8" t="s">
        <v>36</v>
      </c>
      <c r="E14" s="8">
        <v>30</v>
      </c>
      <c r="F14" s="8">
        <v>399</v>
      </c>
      <c r="G14" s="8" t="s">
        <v>37</v>
      </c>
      <c r="H14" s="8" t="s">
        <v>38</v>
      </c>
      <c r="I14" s="11">
        <f t="shared" si="0"/>
        <v>11970</v>
      </c>
    </row>
    <row r="15" spans="1:9" ht="19.95" customHeight="1" x14ac:dyDescent="0.3">
      <c r="A15" s="8" t="s">
        <v>62</v>
      </c>
      <c r="B15" s="8" t="s">
        <v>63</v>
      </c>
      <c r="C15" s="8" t="s">
        <v>64</v>
      </c>
      <c r="D15" s="8" t="s">
        <v>45</v>
      </c>
      <c r="E15" s="8">
        <v>55</v>
      </c>
      <c r="F15" s="8">
        <v>149</v>
      </c>
      <c r="G15" s="8" t="s">
        <v>37</v>
      </c>
      <c r="H15" s="8" t="s">
        <v>42</v>
      </c>
      <c r="I15" s="11">
        <f t="shared" si="0"/>
        <v>8195</v>
      </c>
    </row>
    <row r="16" spans="1:9" ht="19.95" customHeight="1" x14ac:dyDescent="0.3">
      <c r="A16" s="7" t="s">
        <v>66</v>
      </c>
      <c r="B16" s="7" t="s">
        <v>67</v>
      </c>
      <c r="C16" s="7" t="s">
        <v>68</v>
      </c>
      <c r="D16" s="7" t="s">
        <v>36</v>
      </c>
      <c r="E16" s="7">
        <v>70</v>
      </c>
      <c r="F16" s="7">
        <v>399</v>
      </c>
      <c r="G16" s="7" t="s">
        <v>69</v>
      </c>
      <c r="H16" s="7" t="s">
        <v>38</v>
      </c>
      <c r="I16" s="11">
        <f t="shared" si="0"/>
        <v>27930</v>
      </c>
    </row>
    <row r="17" spans="1:9" ht="19.95" customHeight="1" x14ac:dyDescent="0.3">
      <c r="A17" s="8" t="s">
        <v>71</v>
      </c>
      <c r="B17" s="8" t="s">
        <v>72</v>
      </c>
      <c r="C17" s="8" t="s">
        <v>35</v>
      </c>
      <c r="D17" s="8" t="s">
        <v>49</v>
      </c>
      <c r="E17" s="8">
        <v>40</v>
      </c>
      <c r="F17" s="8">
        <v>79</v>
      </c>
      <c r="G17" s="8" t="s">
        <v>69</v>
      </c>
      <c r="H17" s="8" t="s">
        <v>50</v>
      </c>
      <c r="I17" s="11">
        <f t="shared" si="0"/>
        <v>3160</v>
      </c>
    </row>
    <row r="18" spans="1:9" ht="19.95" customHeight="1" x14ac:dyDescent="0.3">
      <c r="A18" s="8" t="s">
        <v>77</v>
      </c>
      <c r="B18" s="8" t="s">
        <v>78</v>
      </c>
      <c r="C18" s="8" t="s">
        <v>44</v>
      </c>
      <c r="D18" s="8" t="s">
        <v>41</v>
      </c>
      <c r="E18" s="8">
        <v>90</v>
      </c>
      <c r="F18" s="8">
        <v>99</v>
      </c>
      <c r="G18" s="8" t="s">
        <v>69</v>
      </c>
      <c r="H18" s="8" t="s">
        <v>42</v>
      </c>
      <c r="I18" s="11">
        <f t="shared" si="0"/>
        <v>8910</v>
      </c>
    </row>
    <row r="19" spans="1:9" ht="19.95" customHeight="1" x14ac:dyDescent="0.3">
      <c r="A19" s="7" t="s">
        <v>79</v>
      </c>
      <c r="B19" s="7" t="s">
        <v>40</v>
      </c>
      <c r="C19" s="7" t="s">
        <v>68</v>
      </c>
      <c r="D19" s="7" t="s">
        <v>45</v>
      </c>
      <c r="E19" s="7">
        <v>35</v>
      </c>
      <c r="F19" s="7">
        <v>149</v>
      </c>
      <c r="G19" s="7" t="s">
        <v>69</v>
      </c>
      <c r="H19" s="7" t="s">
        <v>50</v>
      </c>
      <c r="I19" s="11">
        <f t="shared" si="0"/>
        <v>5215</v>
      </c>
    </row>
    <row r="20" spans="1:9" ht="19.95" customHeight="1" x14ac:dyDescent="0.3">
      <c r="A20" s="8" t="s">
        <v>81</v>
      </c>
      <c r="B20" s="8" t="s">
        <v>82</v>
      </c>
      <c r="C20" s="8" t="s">
        <v>35</v>
      </c>
      <c r="D20" s="8" t="s">
        <v>36</v>
      </c>
      <c r="E20" s="8">
        <v>50</v>
      </c>
      <c r="F20" s="8">
        <v>399</v>
      </c>
      <c r="G20" s="8" t="s">
        <v>69</v>
      </c>
      <c r="H20" s="8" t="s">
        <v>42</v>
      </c>
      <c r="I20" s="11">
        <f t="shared" si="0"/>
        <v>19950</v>
      </c>
    </row>
    <row r="21" spans="1:9" ht="19.95" customHeight="1" x14ac:dyDescent="0.3">
      <c r="A21" s="8" t="s">
        <v>84</v>
      </c>
      <c r="B21" s="8" t="s">
        <v>85</v>
      </c>
      <c r="C21" s="8" t="s">
        <v>86</v>
      </c>
      <c r="D21" s="8" t="s">
        <v>41</v>
      </c>
      <c r="E21" s="8">
        <v>65</v>
      </c>
      <c r="F21" s="8">
        <v>99</v>
      </c>
      <c r="G21" s="8" t="s">
        <v>69</v>
      </c>
      <c r="H21" s="8" t="s">
        <v>50</v>
      </c>
      <c r="I21" s="11">
        <f t="shared" si="0"/>
        <v>6435</v>
      </c>
    </row>
    <row r="22" spans="1:9" ht="19.95" customHeight="1" x14ac:dyDescent="0.3">
      <c r="A22" s="7" t="s">
        <v>88</v>
      </c>
      <c r="B22" s="7" t="s">
        <v>63</v>
      </c>
      <c r="C22" s="7" t="s">
        <v>64</v>
      </c>
      <c r="D22" s="7" t="s">
        <v>54</v>
      </c>
      <c r="E22" s="7">
        <v>20</v>
      </c>
      <c r="F22" s="7">
        <v>249</v>
      </c>
      <c r="G22" s="7" t="s">
        <v>69</v>
      </c>
      <c r="H22" s="7" t="s">
        <v>42</v>
      </c>
      <c r="I22" s="11">
        <f t="shared" si="0"/>
        <v>4980</v>
      </c>
    </row>
    <row r="23" spans="1:9" ht="19.95" customHeight="1" x14ac:dyDescent="0.3">
      <c r="A23" s="8" t="s">
        <v>95</v>
      </c>
      <c r="B23" s="8" t="s">
        <v>78</v>
      </c>
      <c r="C23" s="8" t="s">
        <v>44</v>
      </c>
      <c r="D23" s="8" t="s">
        <v>41</v>
      </c>
      <c r="E23" s="8">
        <v>90</v>
      </c>
      <c r="F23" s="8">
        <v>99</v>
      </c>
      <c r="G23" s="8" t="s">
        <v>69</v>
      </c>
      <c r="H23" s="8" t="s">
        <v>42</v>
      </c>
      <c r="I23" s="11">
        <f t="shared" si="0"/>
        <v>8910</v>
      </c>
    </row>
    <row r="24" spans="1:9" x14ac:dyDescent="0.3">
      <c r="A24" s="54" t="s">
        <v>105</v>
      </c>
      <c r="B24" s="32"/>
      <c r="C24" s="32"/>
      <c r="D24" s="32"/>
      <c r="E24" s="32"/>
      <c r="F24" s="32"/>
      <c r="G24" s="32"/>
      <c r="H24" s="32"/>
      <c r="I24" s="32"/>
    </row>
    <row r="26" spans="1:9" x14ac:dyDescent="0.3">
      <c r="A26" s="55" t="s">
        <v>106</v>
      </c>
      <c r="B26" s="41"/>
      <c r="C26" s="41"/>
      <c r="D26" s="32"/>
    </row>
    <row r="27" spans="1:9" x14ac:dyDescent="0.3">
      <c r="A27" s="12" t="s">
        <v>24</v>
      </c>
      <c r="B27" s="12" t="s">
        <v>107</v>
      </c>
      <c r="C27" s="12" t="s">
        <v>108</v>
      </c>
    </row>
    <row r="28" spans="1:9" ht="18" customHeight="1" x14ac:dyDescent="0.3">
      <c r="A28" s="13" t="s">
        <v>43</v>
      </c>
      <c r="B28" s="13" t="s">
        <v>137</v>
      </c>
      <c r="C28" s="13" t="s">
        <v>138</v>
      </c>
    </row>
    <row r="29" spans="1:9" ht="18" customHeight="1" x14ac:dyDescent="0.3">
      <c r="A29" s="13" t="s">
        <v>59</v>
      </c>
      <c r="B29" s="13" t="s">
        <v>137</v>
      </c>
      <c r="C29" s="13" t="s">
        <v>138</v>
      </c>
    </row>
    <row r="30" spans="1:9" ht="18" customHeight="1" x14ac:dyDescent="0.3">
      <c r="A30" s="13" t="s">
        <v>74</v>
      </c>
      <c r="B30" s="13" t="s">
        <v>137</v>
      </c>
      <c r="C30" s="13" t="s">
        <v>138</v>
      </c>
    </row>
    <row r="31" spans="1:9" ht="18" customHeight="1" x14ac:dyDescent="0.3">
      <c r="A31" s="13" t="s">
        <v>83</v>
      </c>
      <c r="B31" s="13" t="s">
        <v>139</v>
      </c>
      <c r="C31" s="13" t="s">
        <v>140</v>
      </c>
    </row>
    <row r="32" spans="1:9" ht="18" customHeight="1" x14ac:dyDescent="0.3">
      <c r="A32" s="13" t="s">
        <v>90</v>
      </c>
      <c r="B32" s="13" t="s">
        <v>137</v>
      </c>
      <c r="C32" s="13" t="s">
        <v>138</v>
      </c>
    </row>
    <row r="33" spans="1:3" ht="18" customHeight="1" x14ac:dyDescent="0.3">
      <c r="A33" s="13" t="s">
        <v>93</v>
      </c>
      <c r="B33" s="13" t="s">
        <v>141</v>
      </c>
      <c r="C33" s="13" t="s">
        <v>142</v>
      </c>
    </row>
  </sheetData>
  <mergeCells count="10">
    <mergeCell ref="A24:I24"/>
    <mergeCell ref="A26:D26"/>
    <mergeCell ref="A2:I2"/>
    <mergeCell ref="A5:I5"/>
    <mergeCell ref="A1:I1"/>
    <mergeCell ref="A8:I8"/>
    <mergeCell ref="A3:I3"/>
    <mergeCell ref="A6:I6"/>
    <mergeCell ref="A4:I4"/>
    <mergeCell ref="A7:I7"/>
  </mergeCells>
  <conditionalFormatting sqref="A10:A11">
    <cfRule type="duplicateValues" dxfId="9" priority="14"/>
    <cfRule type="duplicateValues" dxfId="8" priority="15"/>
  </conditionalFormatting>
  <conditionalFormatting sqref="A12:A14">
    <cfRule type="duplicateValues" dxfId="7" priority="7"/>
    <cfRule type="duplicateValues" dxfId="6" priority="8"/>
  </conditionalFormatting>
  <conditionalFormatting sqref="A15:A17">
    <cfRule type="duplicateValues" dxfId="5" priority="5"/>
    <cfRule type="duplicateValues" dxfId="4" priority="6"/>
  </conditionalFormatting>
  <conditionalFormatting sqref="A18:A23">
    <cfRule type="duplicateValues" dxfId="3" priority="3"/>
    <cfRule type="duplicateValues" dxfId="2" priority="4"/>
  </conditionalFormatting>
  <conditionalFormatting sqref="A23">
    <cfRule type="duplicateValues" dxfId="1" priority="12"/>
    <cfRule type="duplicateValues" dxfId="0" priority="13"/>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2"/>
  <sheetViews>
    <sheetView workbookViewId="0">
      <selection activeCell="D30" sqref="D30:D32"/>
    </sheetView>
  </sheetViews>
  <sheetFormatPr defaultRowHeight="14.4" x14ac:dyDescent="0.3"/>
  <cols>
    <col min="1" max="1" width="18" customWidth="1"/>
    <col min="2" max="2" width="30" customWidth="1"/>
    <col min="3" max="3" width="20" customWidth="1"/>
    <col min="4" max="4" width="35" customWidth="1"/>
    <col min="5" max="6" width="10" customWidth="1"/>
  </cols>
  <sheetData>
    <row r="1" spans="1:6" ht="28.05" customHeight="1" x14ac:dyDescent="0.3">
      <c r="A1" s="58" t="s">
        <v>109</v>
      </c>
      <c r="B1" s="32"/>
      <c r="C1" s="32"/>
      <c r="D1" s="32"/>
      <c r="E1" s="32"/>
      <c r="F1" s="32"/>
    </row>
    <row r="3" spans="1:6" ht="24" customHeight="1" x14ac:dyDescent="0.3">
      <c r="A3" s="48" t="s">
        <v>110</v>
      </c>
      <c r="B3" s="32"/>
      <c r="C3" s="32"/>
      <c r="D3" s="32"/>
      <c r="E3" s="32"/>
      <c r="F3" s="32"/>
    </row>
    <row r="4" spans="1:6" ht="19.95" customHeight="1" x14ac:dyDescent="0.3">
      <c r="A4" s="14" t="s">
        <v>27</v>
      </c>
      <c r="B4" s="14" t="s">
        <v>111</v>
      </c>
      <c r="C4" s="14" t="s">
        <v>112</v>
      </c>
    </row>
    <row r="5" spans="1:6" ht="19.95" customHeight="1" x14ac:dyDescent="0.3">
      <c r="A5" s="15" t="s">
        <v>36</v>
      </c>
      <c r="B5" s="16">
        <f>SUM('Clean Data'!I10,'Clean Data'!I14,'Clean Data'!I20,'Clean Data'!I16)</f>
        <v>77805</v>
      </c>
      <c r="C5" s="30">
        <f>(B5/$B$10)*100</f>
        <v>54.601915856696728</v>
      </c>
    </row>
    <row r="6" spans="1:6" ht="19.95" customHeight="1" x14ac:dyDescent="0.3">
      <c r="A6" s="15" t="s">
        <v>41</v>
      </c>
      <c r="B6" s="16">
        <f>SUM('Clean Data'!I11,'Clean Data'!I18,'Clean Data'!I21,'Clean Data'!I23)</f>
        <v>32175</v>
      </c>
      <c r="C6" s="30">
        <f t="shared" ref="C6:C9" si="0">(B6/$B$10)*100</f>
        <v>22.579739639987366</v>
      </c>
    </row>
    <row r="7" spans="1:6" ht="19.95" customHeight="1" x14ac:dyDescent="0.3">
      <c r="A7" s="15" t="s">
        <v>45</v>
      </c>
      <c r="B7" s="16">
        <f>SUM('Clean Data'!I15,'Clean Data'!I19)</f>
        <v>13410</v>
      </c>
      <c r="C7" s="30">
        <f t="shared" si="0"/>
        <v>9.4108565212814472</v>
      </c>
      <c r="D7" s="29"/>
    </row>
    <row r="8" spans="1:6" ht="19.95" customHeight="1" x14ac:dyDescent="0.3">
      <c r="A8" s="15" t="s">
        <v>49</v>
      </c>
      <c r="B8" s="16">
        <f>SUM('Clean Data'!I17,'Clean Data'!I12)</f>
        <v>7900</v>
      </c>
      <c r="C8" s="30">
        <f t="shared" si="0"/>
        <v>5.5440541773395555</v>
      </c>
    </row>
    <row r="9" spans="1:6" ht="19.95" customHeight="1" x14ac:dyDescent="0.3">
      <c r="A9" s="15" t="s">
        <v>54</v>
      </c>
      <c r="B9" s="16">
        <f>SUM('Clean Data'!I13,'Clean Data'!I22)</f>
        <v>11205</v>
      </c>
      <c r="C9" s="30">
        <f t="shared" si="0"/>
        <v>7.8634338046949015</v>
      </c>
    </row>
    <row r="10" spans="1:6" ht="19.95" customHeight="1" x14ac:dyDescent="0.3">
      <c r="A10" s="17" t="s">
        <v>113</v>
      </c>
      <c r="B10" s="18">
        <f>SUM(B5:B9)</f>
        <v>142495</v>
      </c>
      <c r="C10" s="18">
        <f>SUM(C5:C9)</f>
        <v>100.00000000000001</v>
      </c>
    </row>
    <row r="13" spans="1:6" ht="24" customHeight="1" x14ac:dyDescent="0.3">
      <c r="A13" s="48" t="s">
        <v>114</v>
      </c>
      <c r="B13" s="32"/>
      <c r="C13" s="32"/>
      <c r="D13" s="32"/>
      <c r="E13" s="32"/>
      <c r="F13" s="32"/>
    </row>
    <row r="14" spans="1:6" ht="19.95" customHeight="1" x14ac:dyDescent="0.3">
      <c r="A14" s="14" t="s">
        <v>30</v>
      </c>
      <c r="B14" s="14" t="s">
        <v>111</v>
      </c>
      <c r="C14" s="14" t="s">
        <v>115</v>
      </c>
    </row>
    <row r="15" spans="1:6" ht="19.95" customHeight="1" x14ac:dyDescent="0.3">
      <c r="A15" s="15" t="s">
        <v>37</v>
      </c>
      <c r="B15" s="16">
        <f>SUM('Clean Data'!I10:I15)</f>
        <v>57005</v>
      </c>
      <c r="C15" s="16">
        <f>B15/$B$17*100</f>
        <v>40.004912453068528</v>
      </c>
    </row>
    <row r="16" spans="1:6" ht="19.95" customHeight="1" x14ac:dyDescent="0.3">
      <c r="A16" s="15" t="s">
        <v>69</v>
      </c>
      <c r="B16" s="16">
        <f>SUM('Clean Data'!I16:I23)</f>
        <v>85490</v>
      </c>
      <c r="C16" s="16">
        <f>B16/$B$17*100</f>
        <v>59.995087546931472</v>
      </c>
    </row>
    <row r="17" spans="1:6" ht="19.95" customHeight="1" x14ac:dyDescent="0.3">
      <c r="A17" s="17" t="s">
        <v>113</v>
      </c>
      <c r="B17" s="18">
        <f>SUM(B15:B16)</f>
        <v>142495</v>
      </c>
      <c r="C17" s="18">
        <f>SUM(C15:C16)</f>
        <v>100</v>
      </c>
    </row>
    <row r="20" spans="1:6" ht="24" customHeight="1" x14ac:dyDescent="0.3">
      <c r="A20" s="48" t="s">
        <v>116</v>
      </c>
      <c r="B20" s="32"/>
      <c r="C20" s="32"/>
      <c r="D20" s="32"/>
      <c r="E20" s="32"/>
      <c r="F20" s="32"/>
    </row>
    <row r="21" spans="1:6" ht="19.95" customHeight="1" x14ac:dyDescent="0.3">
      <c r="A21" s="14" t="s">
        <v>31</v>
      </c>
      <c r="B21" s="14" t="s">
        <v>111</v>
      </c>
      <c r="C21" s="14" t="s">
        <v>117</v>
      </c>
    </row>
    <row r="22" spans="1:6" ht="19.95" customHeight="1" x14ac:dyDescent="0.3">
      <c r="A22" s="15" t="s">
        <v>38</v>
      </c>
      <c r="B22" s="16">
        <f>SUM('Clean Data'!I10,'Clean Data'!I14,'Clean Data'!I16)</f>
        <v>57855</v>
      </c>
      <c r="C22" s="16">
        <f>RANK(B22,$B$22:$B$24,0)</f>
        <v>2</v>
      </c>
    </row>
    <row r="23" spans="1:6" ht="19.95" customHeight="1" x14ac:dyDescent="0.3">
      <c r="A23" s="15" t="s">
        <v>42</v>
      </c>
      <c r="B23" s="16">
        <f>SUM('Clean Data'!I11,'Clean Data'!I13,'Clean Data'!I15,'Clean Data'!I18,'Clean Data'!I20,'Clean Data'!I22,'Clean Data'!I23)</f>
        <v>65090</v>
      </c>
      <c r="C23" s="16">
        <f t="shared" ref="C23:C24" si="1">RANK(B23,$B$22:$B$24,0)</f>
        <v>1</v>
      </c>
    </row>
    <row r="24" spans="1:6" ht="19.95" customHeight="1" x14ac:dyDescent="0.3">
      <c r="A24" s="15" t="s">
        <v>50</v>
      </c>
      <c r="B24" s="16">
        <f>SUM('Clean Data'!I12,'Clean Data'!I17,'Clean Data'!I19,'Clean Data'!I21)</f>
        <v>19550</v>
      </c>
      <c r="C24" s="16">
        <f t="shared" si="1"/>
        <v>3</v>
      </c>
    </row>
    <row r="27" spans="1:6" ht="24" customHeight="1" x14ac:dyDescent="0.3">
      <c r="A27" s="48" t="s">
        <v>118</v>
      </c>
      <c r="B27" s="32"/>
      <c r="C27" s="32"/>
      <c r="D27" s="32"/>
      <c r="E27" s="32"/>
      <c r="F27" s="32"/>
    </row>
    <row r="28" spans="1:6" ht="22.05" customHeight="1" x14ac:dyDescent="0.3">
      <c r="A28" s="57" t="s">
        <v>119</v>
      </c>
      <c r="B28" s="32"/>
      <c r="C28" s="32"/>
      <c r="D28" s="32"/>
      <c r="E28" s="32"/>
      <c r="F28" s="32"/>
    </row>
    <row r="29" spans="1:6" ht="19.95" customHeight="1" x14ac:dyDescent="0.3">
      <c r="A29" s="14" t="s">
        <v>31</v>
      </c>
      <c r="B29" s="14" t="s">
        <v>26</v>
      </c>
      <c r="C29" s="14" t="s">
        <v>111</v>
      </c>
      <c r="D29" s="14" t="s">
        <v>120</v>
      </c>
    </row>
    <row r="30" spans="1:6" ht="19.95" customHeight="1" x14ac:dyDescent="0.3">
      <c r="A30" s="19" t="s">
        <v>38</v>
      </c>
      <c r="B30" s="20" t="s">
        <v>121</v>
      </c>
      <c r="C30" s="20">
        <v>57855</v>
      </c>
      <c r="D30" s="21" t="str">
        <f>VLOOKUP(A30,'Lookup Table'!$A$3:$B$5,2,FALSE)</f>
        <v>Ms. Kavitha Reddy</v>
      </c>
    </row>
    <row r="31" spans="1:6" ht="19.95" customHeight="1" x14ac:dyDescent="0.3">
      <c r="A31" s="19" t="s">
        <v>42</v>
      </c>
      <c r="B31" s="20" t="s">
        <v>122</v>
      </c>
      <c r="C31" s="20">
        <v>65090</v>
      </c>
      <c r="D31" s="21" t="str">
        <f>VLOOKUP(A31,'Lookup Table'!$A$3:$B$5,2,FALSE)</f>
        <v>Mr. Sanjay Mehta</v>
      </c>
    </row>
    <row r="32" spans="1:6" ht="19.95" customHeight="1" x14ac:dyDescent="0.3">
      <c r="A32" s="19" t="s">
        <v>50</v>
      </c>
      <c r="B32" s="20" t="s">
        <v>123</v>
      </c>
      <c r="C32" s="20">
        <v>19550</v>
      </c>
      <c r="D32" s="21" t="str">
        <f>VLOOKUP(A32,'Lookup Table'!$A$3:$B$5,2,FALSE)</f>
        <v>Ms. Kavitha Reddy</v>
      </c>
    </row>
  </sheetData>
  <mergeCells count="6">
    <mergeCell ref="A28:F28"/>
    <mergeCell ref="A13:F13"/>
    <mergeCell ref="A1:F1"/>
    <mergeCell ref="A27:F27"/>
    <mergeCell ref="A3:F3"/>
    <mergeCell ref="A20:F20"/>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5"/>
  <sheetViews>
    <sheetView workbookViewId="0">
      <selection sqref="A1:B1"/>
    </sheetView>
  </sheetViews>
  <sheetFormatPr defaultRowHeight="14.4" x14ac:dyDescent="0.3"/>
  <cols>
    <col min="1" max="1" width="15" customWidth="1"/>
    <col min="2" max="2" width="25" customWidth="1"/>
  </cols>
  <sheetData>
    <row r="1" spans="1:2" ht="25.95" customHeight="1" x14ac:dyDescent="0.3">
      <c r="A1" s="59" t="s">
        <v>124</v>
      </c>
      <c r="B1" s="32"/>
    </row>
    <row r="2" spans="1:2" ht="19.95" customHeight="1" x14ac:dyDescent="0.3">
      <c r="A2" s="5" t="s">
        <v>31</v>
      </c>
      <c r="B2" s="5" t="s">
        <v>125</v>
      </c>
    </row>
    <row r="3" spans="1:2" ht="19.95" customHeight="1" x14ac:dyDescent="0.3">
      <c r="A3" s="3" t="s">
        <v>38</v>
      </c>
      <c r="B3" s="4" t="s">
        <v>126</v>
      </c>
    </row>
    <row r="4" spans="1:2" ht="19.95" customHeight="1" x14ac:dyDescent="0.3">
      <c r="A4" s="22" t="s">
        <v>42</v>
      </c>
      <c r="B4" s="23" t="s">
        <v>127</v>
      </c>
    </row>
    <row r="5" spans="1:2" ht="19.95" customHeight="1" x14ac:dyDescent="0.3">
      <c r="A5" s="24" t="s">
        <v>50</v>
      </c>
      <c r="B5" s="25" t="s">
        <v>126</v>
      </c>
    </row>
  </sheetData>
  <mergeCells count="1">
    <mergeCell ref="A1:B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7"/>
  <sheetViews>
    <sheetView topLeftCell="A16" workbookViewId="0">
      <selection activeCell="A25" sqref="A25:D27"/>
    </sheetView>
  </sheetViews>
  <sheetFormatPr defaultRowHeight="14.4" x14ac:dyDescent="0.3"/>
  <cols>
    <col min="1" max="4" width="25" customWidth="1"/>
  </cols>
  <sheetData>
    <row r="1" spans="1:4" ht="30" customHeight="1" x14ac:dyDescent="0.3">
      <c r="A1" s="31" t="s">
        <v>128</v>
      </c>
      <c r="B1" s="32"/>
      <c r="C1" s="32"/>
      <c r="D1" s="32"/>
    </row>
    <row r="3" spans="1:4" ht="28.05" customHeight="1" x14ac:dyDescent="0.3">
      <c r="A3" s="37" t="s">
        <v>129</v>
      </c>
      <c r="B3" s="32"/>
      <c r="C3" s="32"/>
      <c r="D3" s="32"/>
    </row>
    <row r="4" spans="1:4" ht="28.05" customHeight="1" x14ac:dyDescent="0.3">
      <c r="A4" s="36" t="s">
        <v>146</v>
      </c>
      <c r="B4" s="32"/>
      <c r="C4" s="32"/>
      <c r="D4" s="32"/>
    </row>
    <row r="6" spans="1:4" ht="28.05" customHeight="1" x14ac:dyDescent="0.3">
      <c r="A6" s="33" t="s">
        <v>130</v>
      </c>
      <c r="B6" s="32"/>
      <c r="C6" s="32"/>
      <c r="D6" s="32"/>
    </row>
    <row r="7" spans="1:4" ht="28.05" customHeight="1" x14ac:dyDescent="0.3">
      <c r="A7" s="34" t="s">
        <v>147</v>
      </c>
      <c r="B7" s="32"/>
      <c r="C7" s="32"/>
      <c r="D7" s="32"/>
    </row>
    <row r="8" spans="1:4" ht="28.05" customHeight="1" x14ac:dyDescent="0.3">
      <c r="A8" s="32"/>
      <c r="B8" s="32"/>
      <c r="C8" s="32"/>
      <c r="D8" s="32"/>
    </row>
    <row r="9" spans="1:4" ht="28.05" customHeight="1" x14ac:dyDescent="0.3">
      <c r="A9" s="32"/>
      <c r="B9" s="32"/>
      <c r="C9" s="32"/>
      <c r="D9" s="32"/>
    </row>
    <row r="11" spans="1:4" ht="28.05" customHeight="1" x14ac:dyDescent="0.3">
      <c r="A11" s="33" t="s">
        <v>131</v>
      </c>
      <c r="B11" s="32"/>
      <c r="C11" s="32"/>
      <c r="D11" s="32"/>
    </row>
    <row r="12" spans="1:4" ht="28.05" customHeight="1" x14ac:dyDescent="0.3">
      <c r="A12" s="34" t="s">
        <v>148</v>
      </c>
      <c r="B12" s="32"/>
      <c r="C12" s="32"/>
      <c r="D12" s="32"/>
    </row>
    <row r="13" spans="1:4" ht="28.05" customHeight="1" x14ac:dyDescent="0.3">
      <c r="A13" s="32"/>
      <c r="B13" s="32"/>
      <c r="C13" s="32"/>
      <c r="D13" s="32"/>
    </row>
    <row r="15" spans="1:4" ht="28.05" customHeight="1" x14ac:dyDescent="0.3">
      <c r="A15" s="33" t="s">
        <v>132</v>
      </c>
      <c r="B15" s="32"/>
      <c r="C15" s="32"/>
      <c r="D15" s="32"/>
    </row>
    <row r="16" spans="1:4" ht="28.05" customHeight="1" x14ac:dyDescent="0.3">
      <c r="A16" s="34" t="s">
        <v>150</v>
      </c>
      <c r="B16" s="32"/>
      <c r="C16" s="32"/>
      <c r="D16" s="32"/>
    </row>
    <row r="17" spans="1:4" ht="28.05" customHeight="1" x14ac:dyDescent="0.3">
      <c r="A17" s="32"/>
      <c r="B17" s="32"/>
      <c r="C17" s="32"/>
      <c r="D17" s="32"/>
    </row>
    <row r="19" spans="1:4" ht="28.05" customHeight="1" x14ac:dyDescent="0.3">
      <c r="A19" s="33" t="s">
        <v>133</v>
      </c>
      <c r="B19" s="32"/>
      <c r="C19" s="32"/>
      <c r="D19" s="32"/>
    </row>
    <row r="20" spans="1:4" ht="28.05" customHeight="1" x14ac:dyDescent="0.3">
      <c r="A20" s="38" t="s">
        <v>151</v>
      </c>
      <c r="B20" s="32"/>
      <c r="C20" s="32"/>
      <c r="D20" s="32"/>
    </row>
    <row r="21" spans="1:4" ht="28.05" customHeight="1" x14ac:dyDescent="0.3">
      <c r="A21" s="32"/>
      <c r="B21" s="32"/>
      <c r="C21" s="32"/>
      <c r="D21" s="32"/>
    </row>
    <row r="22" spans="1:4" ht="28.05" customHeight="1" x14ac:dyDescent="0.3">
      <c r="A22" s="32"/>
      <c r="B22" s="32"/>
      <c r="C22" s="32"/>
      <c r="D22" s="32"/>
    </row>
    <row r="24" spans="1:4" ht="28.05" customHeight="1" x14ac:dyDescent="0.3">
      <c r="A24" s="33" t="s">
        <v>134</v>
      </c>
      <c r="B24" s="32"/>
      <c r="C24" s="32"/>
      <c r="D24" s="32"/>
    </row>
    <row r="25" spans="1:4" ht="28.05" customHeight="1" x14ac:dyDescent="0.3">
      <c r="A25" s="35" t="s">
        <v>152</v>
      </c>
      <c r="B25" s="32"/>
      <c r="C25" s="32"/>
      <c r="D25" s="32"/>
    </row>
    <row r="26" spans="1:4" ht="28.05" customHeight="1" x14ac:dyDescent="0.3">
      <c r="A26" s="32"/>
      <c r="B26" s="32"/>
      <c r="C26" s="32"/>
      <c r="D26" s="32"/>
    </row>
    <row r="27" spans="1:4" ht="28.05" customHeight="1" x14ac:dyDescent="0.3">
      <c r="A27" s="32"/>
      <c r="B27" s="32"/>
      <c r="C27" s="32"/>
      <c r="D27" s="32"/>
    </row>
  </sheetData>
  <mergeCells count="13">
    <mergeCell ref="A1:D1"/>
    <mergeCell ref="A6:D6"/>
    <mergeCell ref="A7:D9"/>
    <mergeCell ref="A25:D27"/>
    <mergeCell ref="A4:D4"/>
    <mergeCell ref="A3:D3"/>
    <mergeCell ref="A12:D13"/>
    <mergeCell ref="A15:D15"/>
    <mergeCell ref="A16:D17"/>
    <mergeCell ref="A20:D22"/>
    <mergeCell ref="A24:D24"/>
    <mergeCell ref="A19:D19"/>
    <mergeCell ref="A11:D1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 Start Here</vt:lpstr>
      <vt:lpstr>Raw Data (Messy)</vt:lpstr>
      <vt:lpstr>Sheet1</vt:lpstr>
      <vt:lpstr>Clean Data</vt:lpstr>
      <vt:lpstr>Analysis Tasks</vt:lpstr>
      <vt:lpstr>Lookup Table</vt:lpstr>
      <vt:lpstr>Client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Deepanshu Garg</cp:lastModifiedBy>
  <dcterms:created xsi:type="dcterms:W3CDTF">2026-03-29T07:38:38Z</dcterms:created>
  <dcterms:modified xsi:type="dcterms:W3CDTF">2026-03-29T14:11:19Z</dcterms:modified>
</cp:coreProperties>
</file>