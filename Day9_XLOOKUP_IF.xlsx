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30c6ebe1e7ac33e/Desktop/Excel/"/>
    </mc:Choice>
  </mc:AlternateContent>
  <xr:revisionPtr revIDLastSave="4" documentId="11_B0BD813EC89A957227D9F6A8B50ABDBE8C1DB2C1" xr6:coauthVersionLast="47" xr6:coauthVersionMax="47" xr10:uidLastSave="{10D2CC62-8A5E-42BA-AAE4-652206524EAE}"/>
  <bookViews>
    <workbookView xWindow="-108" yWindow="-108" windowWidth="23256" windowHeight="12456" activeTab="1" xr2:uid="{00000000-000D-0000-FFFF-FFFF00000000}"/>
  </bookViews>
  <sheets>
    <sheet name="Product Catalogue" sheetId="1" r:id="rId1"/>
    <sheet name="Sales Log" sheetId="2" r:id="rId2"/>
    <sheet name="Concept Notes" sheetId="3" r:id="rId3"/>
    <sheet name="Scoring Guide" sheetId="4" r:id="rId4"/>
  </sheets>
  <calcPr calcId="191029"/>
</workbook>
</file>

<file path=xl/calcChain.xml><?xml version="1.0" encoding="utf-8"?>
<calcChain xmlns="http://schemas.openxmlformats.org/spreadsheetml/2006/main">
  <c r="I5" i="2" l="1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4" i="2"/>
  <c r="D25" i="2" s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4" i="2"/>
  <c r="D24" i="2" s="1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4" i="2"/>
  <c r="D26" i="2" s="1"/>
  <c r="B4" i="3"/>
  <c r="D23" i="2"/>
  <c r="D22" i="2"/>
</calcChain>
</file>

<file path=xl/sharedStrings.xml><?xml version="1.0" encoding="utf-8"?>
<sst xmlns="http://schemas.openxmlformats.org/spreadsheetml/2006/main" count="282" uniqueCount="185">
  <si>
    <t>Product Catalogue — ElectraMart India</t>
  </si>
  <si>
    <t>Master reference table  |  XLOOKUP pulls data from column A (Product ID), B (Name), C (Price)</t>
  </si>
  <si>
    <t>Product ID</t>
  </si>
  <si>
    <t>Product Name</t>
  </si>
  <si>
    <t>Unit Price (Rs)</t>
  </si>
  <si>
    <t>Category</t>
  </si>
  <si>
    <t>Stock Status</t>
  </si>
  <si>
    <t>Supplier</t>
  </si>
  <si>
    <t>Reorder Note</t>
  </si>
  <si>
    <t>PRD-001</t>
  </si>
  <si>
    <t>Wireless Earphones</t>
  </si>
  <si>
    <t>Audio</t>
  </si>
  <si>
    <t>In Stock</t>
  </si>
  <si>
    <t>SoundTech</t>
  </si>
  <si>
    <t>Reorder at 50 units</t>
  </si>
  <si>
    <t>PRD-002</t>
  </si>
  <si>
    <t>USB-C Cable 1m</t>
  </si>
  <si>
    <t>Accessories</t>
  </si>
  <si>
    <t>CablePro</t>
  </si>
  <si>
    <t>Reorder at 100 units</t>
  </si>
  <si>
    <t>PRD-003</t>
  </si>
  <si>
    <t>Phone Stand Adjustable</t>
  </si>
  <si>
    <t>Low Stock</t>
  </si>
  <si>
    <t>DeskMate</t>
  </si>
  <si>
    <t>Order now — only 12 left</t>
  </si>
  <si>
    <t>PRD-004</t>
  </si>
  <si>
    <t>Tempered Glass 6.1</t>
  </si>
  <si>
    <t>Protection</t>
  </si>
  <si>
    <t>ShieldTech</t>
  </si>
  <si>
    <t>Reorder at 150 units</t>
  </si>
  <si>
    <t>PRD-005</t>
  </si>
  <si>
    <t>Bluetooth Speaker</t>
  </si>
  <si>
    <t>Out of Stock</t>
  </si>
  <si>
    <t>Awaiting next shipment</t>
  </si>
  <si>
    <t>PRD-006</t>
  </si>
  <si>
    <t>Laptop Sleeve 15</t>
  </si>
  <si>
    <t>Bags</t>
  </si>
  <si>
    <t>CarryPlus</t>
  </si>
  <si>
    <t>Reorder at 30 units</t>
  </si>
  <si>
    <t>PRD-007</t>
  </si>
  <si>
    <t>Wireless Mouse</t>
  </si>
  <si>
    <t>Computing</t>
  </si>
  <si>
    <t>ClickTech</t>
  </si>
  <si>
    <t>Reorder at 40 units</t>
  </si>
  <si>
    <t>PRD-008</t>
  </si>
  <si>
    <t>Power Bank 10000mAh</t>
  </si>
  <si>
    <t>Charging</t>
  </si>
  <si>
    <t>ChargePlus</t>
  </si>
  <si>
    <t>Order now — only 8 left</t>
  </si>
  <si>
    <t>PRD-009</t>
  </si>
  <si>
    <t>Webcam 1080p</t>
  </si>
  <si>
    <t>VisioTech</t>
  </si>
  <si>
    <t>Reorder at 20 units</t>
  </si>
  <si>
    <t>PRD-010</t>
  </si>
  <si>
    <t>Mechanical Keyboard</t>
  </si>
  <si>
    <t>KeyMaster</t>
  </si>
  <si>
    <t>PRD-011</t>
  </si>
  <si>
    <t>HDMI Cable 2m</t>
  </si>
  <si>
    <t>Reorder at 80 units</t>
  </si>
  <si>
    <t>PRD-012</t>
  </si>
  <si>
    <t>Phone Holder Car</t>
  </si>
  <si>
    <t>Reorder at 60 units</t>
  </si>
  <si>
    <t>Sales Log — March 2024  |  Day 9 Practice Dataset</t>
  </si>
  <si>
    <t>Columns A-E = given data (do not edit).  Columns F-J = YOUR formulas only. No hardcoding allowed.</t>
  </si>
  <si>
    <t>Order ID</t>
  </si>
  <si>
    <t>Date</t>
  </si>
  <si>
    <t>Qty Sold</t>
  </si>
  <si>
    <t>Sales Rep</t>
  </si>
  <si>
    <t>Total Revenue (Rs)</t>
  </si>
  <si>
    <t>Performance Tag</t>
  </si>
  <si>
    <t>Action Note</t>
  </si>
  <si>
    <t>ORD-301</t>
  </si>
  <si>
    <t>15-Mar-24</t>
  </si>
  <si>
    <t>Rohan Sharma</t>
  </si>
  <si>
    <t>ORD-302</t>
  </si>
  <si>
    <t>Priya Mehta</t>
  </si>
  <si>
    <t>ORD-303</t>
  </si>
  <si>
    <t>16-Mar-24</t>
  </si>
  <si>
    <t>ORD-304</t>
  </si>
  <si>
    <t>Anjali Singh</t>
  </si>
  <si>
    <t>ORD-305</t>
  </si>
  <si>
    <t>17-Mar-24</t>
  </si>
  <si>
    <t>Vikram Nair</t>
  </si>
  <si>
    <t>ORD-306</t>
  </si>
  <si>
    <t>ORD-307</t>
  </si>
  <si>
    <t>18-Mar-24</t>
  </si>
  <si>
    <t>ORD-308</t>
  </si>
  <si>
    <t>ORD-309</t>
  </si>
  <si>
    <t>19-Mar-24</t>
  </si>
  <si>
    <t>ORD-310</t>
  </si>
  <si>
    <t>ORD-311</t>
  </si>
  <si>
    <t>20-Mar-24</t>
  </si>
  <si>
    <t>ORD-312</t>
  </si>
  <si>
    <t>ORD-313</t>
  </si>
  <si>
    <t>21-Mar-24</t>
  </si>
  <si>
    <t>ORD-314</t>
  </si>
  <si>
    <t>ORD-315</t>
  </si>
  <si>
    <t>22-Mar-24</t>
  </si>
  <si>
    <t>TASK GUIDE — Build these 5 formulas in columns F through J</t>
  </si>
  <si>
    <t>F4:F18</t>
  </si>
  <si>
    <t>XLOOKUP</t>
  </si>
  <si>
    <t>G4:G18</t>
  </si>
  <si>
    <t>H4:H18</t>
  </si>
  <si>
    <t>Formula</t>
  </si>
  <si>
    <t>I4:I18</t>
  </si>
  <si>
    <t>IFS</t>
  </si>
  <si>
    <t>J4:J18</t>
  </si>
  <si>
    <t>Nested IF</t>
  </si>
  <si>
    <t>Day 9 Concept Notes — XLOOKUP vs VLOOKUP + Advanced IF Logic</t>
  </si>
  <si>
    <t>Term / Concept</t>
  </si>
  <si>
    <t>What it means</t>
  </si>
  <si>
    <t>Example (plain text — not a formula)</t>
  </si>
  <si>
    <t>── XLOOKUP ──</t>
  </si>
  <si>
    <t>XLOOKUP syntax</t>
  </si>
  <si>
    <t>XLOOKUP(C4, A4:A15, B4:B15, Not Found)</t>
  </si>
  <si>
    <t>Why better than VLOOKUP</t>
  </si>
  <si>
    <t>VLOOKUP: lookup must be column 1, returns by col number (fragile). XLOOKUP: any column, direct range, never breaks on insert.</t>
  </si>
  <si>
    <t>VLOOKUP col_index=3 breaks if column inserted. XLOOKUP never does.</t>
  </si>
  <si>
    <t>if_not_found argument</t>
  </si>
  <si>
    <t>4th argument — shows custom text instead of #N/A when no match found.</t>
  </si>
  <si>
    <t>XLOOKUP(C4, A:A, B:B, Product not found)</t>
  </si>
  <si>
    <t>Exact match</t>
  </si>
  <si>
    <t>5th argument = 0 for exact match. Always use 0 for Product IDs.</t>
  </si>
  <si>
    <t>XLOOKUP(C4, A:A, B:B, Not Found, 0)</t>
  </si>
  <si>
    <t>── IF LOGIC ──</t>
  </si>
  <si>
    <t>Simple IF</t>
  </si>
  <si>
    <t>Tests one condition. =IF(condition, value_if_true, value_if_false)</t>
  </si>
  <si>
    <t>IF(H4&gt;=5000, High Value, Low Value)</t>
  </si>
  <si>
    <t>Put another IF inside the false branch. Use for 2 conditions max — beyond that use IFS.</t>
  </si>
  <si>
    <t>IF(H4&gt;=5000, High, IF(H4&gt;=2000, Medium, Low))</t>
  </si>
  <si>
    <t>IFS function</t>
  </si>
  <si>
    <t>Cleaner than nested IF. Lists conditions top to bottom — first TRUE wins. Put most restrictive condition FIRST.</t>
  </si>
  <si>
    <t>IFS(H4&gt;=5000, High Value, H4&gt;=2000, Medium Value, H4&lt;2000, Low Value)</t>
  </si>
  <si>
    <t>AND / OR in IF</t>
  </si>
  <si>
    <t>AND() = all conditions must be true. OR() = any one must be true.</t>
  </si>
  <si>
    <t>IF(AND(H4&gt;=5000, D4&gt;=3), Bulk High Value, Standard)</t>
  </si>
  <si>
    <t>── VLOOKUP vs XLOOKUP ──</t>
  </si>
  <si>
    <t>Column restriction</t>
  </si>
  <si>
    <t>VLOOKUP: lookup must be leftmost column. XLOOKUP: lookup_array and return_array are separate — any columns.</t>
  </si>
  <si>
    <t>XLOOKUP can look up by column 3 and return column 1. VLOOKUP cannot.</t>
  </si>
  <si>
    <t>Column number fragility</t>
  </si>
  <si>
    <t>VLOOKUP col_index=3. Someone inserts a column — now returns wrong data with no error.</t>
  </si>
  <si>
    <t>XLOOKUP uses range references — inserting columns never changes the result.</t>
  </si>
  <si>
    <t>Error handling</t>
  </si>
  <si>
    <t>VLOOKUP returns #N/A — needs IFERROR() wrapper. XLOOKUP handles natively via 4th argument.</t>
  </si>
  <si>
    <t>IFERROR(VLOOKUP(...), Not found)  vs  XLOOKUP(..., Not found)</t>
  </si>
  <si>
    <t>When to use each</t>
  </si>
  <si>
    <t>XLOOKUP for all new work. VLOOKUP when maintaining old client files that already have it.</t>
  </si>
  <si>
    <t>Interview answer: I use XLOOKUP for new dashboards. I know VLOOKUP for legacy file maintenance.</t>
  </si>
  <si>
    <t>Day 9 Scoring Guide — Total: 40 points</t>
  </si>
  <si>
    <t>Task</t>
  </si>
  <si>
    <t>Points</t>
  </si>
  <si>
    <t>What is checked</t>
  </si>
  <si>
    <t>Col F — XLOOKUP Product Name</t>
  </si>
  <si>
    <t>8 pts</t>
  </si>
  <si>
    <t>All 15 rows correct. Wireless Earphones for PRD-001, etc. -1pt per error.</t>
  </si>
  <si>
    <t>Col G — XLOOKUP Unit Price</t>
  </si>
  <si>
    <t>All 15 prices correct. 1299 for PRD-001. Formula must use XLOOKUP, not hardcode.</t>
  </si>
  <si>
    <t>Col H — Total Revenue formula</t>
  </si>
  <si>
    <t>6 pts</t>
  </si>
  <si>
    <t>Col I — IFS Performance Tag</t>
  </si>
  <si>
    <t>High Value &gt;= 5000, Medium Value &gt;= 2000, Low Value &lt; 2000. Exact text match required.</t>
  </si>
  <si>
    <t>Col J — Nested IF Action Note</t>
  </si>
  <si>
    <t>Earphones = Flagship msg. Price &gt;= 2000 = Premium msg. Others = Standard item.</t>
  </si>
  <si>
    <t>Written explanation (in chat)</t>
  </si>
  <si>
    <t>4 pts</t>
  </si>
  <si>
    <t>Client-facing language. Describe what each column tells the business in plain English.</t>
  </si>
  <si>
    <t>PENALTY RULE: If Unit Price or Product Name values are hardcoded (typed manually instead of XLOOKUP formula), -4 points on that column even if the value is correct. The formula approach is the professional skill being tested.</t>
  </si>
  <si>
    <t>EXPECTED ANSWERS — check your work against these after submitting</t>
  </si>
  <si>
    <t>Unit Price | Revenue | Tag | Action</t>
  </si>
  <si>
    <t>Rs 1299  |  Rs 3897  |  Medium Value  |  Flagship — protect margin</t>
  </si>
  <si>
    <t>Rs 2199  |  Rs 2199  |  Medium Value  |  Premium product — upsell opportunity</t>
  </si>
  <si>
    <t>Rs 199   |  Rs 1990  |  Low Value     |  Standard item</t>
  </si>
  <si>
    <t>Rs 1599  |  Rs 3198  |  Medium Value  |  Standard item</t>
  </si>
  <si>
    <t>Rs 3299  |  Rs 3299  |  Medium Value  |  Premium product — upsell opportunity</t>
  </si>
  <si>
    <t>Rs 449  |  Rs 2245  |  Medium Value  |  Standard item</t>
  </si>
  <si>
    <t>Rs 1099  |  Rs 4396  |  Medium Value  |  Standard item</t>
  </si>
  <si>
    <t>Rs 149   |  Rs 2235  |  Medium Value  |  Standard item</t>
  </si>
  <si>
    <t>Rs 2499  |  Rs 4998  |  Medium Value  |  Premium product — upsell opportunity</t>
  </si>
  <si>
    <t>Rs 599   |  Rs 1797  |  Low Value     |  Standard item</t>
  </si>
  <si>
    <t>Rs 249   |  Rs 4980  |  Medium Value  |  Standard item</t>
  </si>
  <si>
    <t>Rs 349   |  Rs 2443  |  Medium Value  |  Standard item</t>
  </si>
  <si>
    <t>Rs 1299  |  Rs 6495  |  High Value    |  Flagship — protect margin</t>
  </si>
  <si>
    <t>Rs 199   |  Rs 1592  |  Low Value     |  Standard item</t>
  </si>
  <si>
    <t>Rs 2199  |  Rs 4398  |  Medium Value  |  Premium product — upsell opportunity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</si>
</sst>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595959"/>
      <name val="Arial"/>
    </font>
    <font>
      <b/>
      <sz val="10"/>
      <color rgb="FFFFFFFF"/>
      <name val="Arial"/>
    </font>
    <font>
      <b/>
      <sz val="11"/>
      <color rgb="FF2E5EAA"/>
      <name val="Arial"/>
    </font>
    <font>
      <sz val="11"/>
      <color rgb="FF000000"/>
      <name val="Arial"/>
    </font>
    <font>
      <b/>
      <sz val="11"/>
      <color rgb="FF375623"/>
      <name val="Arial"/>
    </font>
    <font>
      <i/>
      <sz val="11"/>
      <color rgb="FF595959"/>
      <name val="Arial"/>
    </font>
    <font>
      <b/>
      <sz val="11"/>
      <color rgb="FF7F6000"/>
      <name val="Arial"/>
    </font>
    <font>
      <b/>
      <sz val="11"/>
      <color rgb="FFC00000"/>
      <name val="Arial"/>
    </font>
    <font>
      <i/>
      <sz val="10"/>
      <color rgb="FFC00000"/>
      <name val="Arial"/>
    </font>
    <font>
      <b/>
      <sz val="11"/>
      <color rgb="FF000000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b/>
      <sz val="10"/>
      <color rgb="FF2E5EAA"/>
      <name val="Arial"/>
    </font>
    <font>
      <b/>
      <sz val="9"/>
      <color rgb="FFC00000"/>
      <name val="Courier New"/>
    </font>
    <font>
      <b/>
      <sz val="13"/>
      <color rgb="FFFFFFFF"/>
      <name val="Arial"/>
    </font>
    <font>
      <sz val="10"/>
      <color rgb="FF000000"/>
      <name val="Arial"/>
    </font>
    <font>
      <sz val="9"/>
      <color rgb="FF000000"/>
      <name val="Arial"/>
    </font>
    <font>
      <b/>
      <sz val="11"/>
      <color rgb="FF1E6B3C"/>
      <name val="Arial"/>
    </font>
    <font>
      <sz val="9"/>
      <color rgb="FF595959"/>
      <name val="Arial"/>
    </font>
  </fonts>
  <fills count="1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2E5EAA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E0E0"/>
      </patternFill>
    </fill>
    <fill>
      <patternFill patternType="solid">
        <fgColor rgb="FFFFF0F0"/>
      </patternFill>
    </fill>
    <fill>
      <patternFill patternType="solid">
        <fgColor rgb="FF1E6B3C"/>
      </patternFill>
    </fill>
    <fill>
      <patternFill patternType="solid">
        <fgColor rgb="FFD9F0F0"/>
      </patternFill>
    </fill>
    <fill>
      <patternFill patternType="solid">
        <fgColor rgb="FFFCE4D6"/>
      </patternFill>
    </fill>
    <fill>
      <patternFill patternType="solid">
        <fgColor rgb="FFEAE0F5"/>
      </patternFill>
    </fill>
    <fill>
      <patternFill patternType="solid">
        <fgColor rgb="FF375623"/>
      </patternFill>
    </fill>
    <fill>
      <patternFill patternType="solid">
        <fgColor rgb="FFD9E8F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/>
    </xf>
    <xf numFmtId="0" fontId="0" fillId="0" borderId="1" xfId="0" applyBorder="1"/>
    <xf numFmtId="0" fontId="13" fillId="11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left" vertical="center"/>
    </xf>
    <xf numFmtId="0" fontId="13" fillId="12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left" vertical="center"/>
    </xf>
    <xf numFmtId="0" fontId="13" fillId="13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13" fillId="3" borderId="1" xfId="0" applyFont="1" applyFill="1" applyBorder="1" applyAlignment="1">
      <alignment horizontal="left" vertical="center"/>
    </xf>
    <xf numFmtId="0" fontId="17" fillId="5" borderId="1" xfId="0" applyFont="1" applyFill="1" applyBorder="1" applyAlignment="1">
      <alignment horizontal="left" vertical="center" wrapText="1"/>
    </xf>
    <xf numFmtId="0" fontId="18" fillId="15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center"/>
    </xf>
    <xf numFmtId="0" fontId="19" fillId="5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0" fillId="0" borderId="0" xfId="0"/>
    <xf numFmtId="0" fontId="3" fillId="14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5" fillId="11" borderId="1" xfId="0" applyFont="1" applyFill="1" applyBorder="1" applyAlignment="1">
      <alignment horizontal="left" vertical="center" wrapText="1"/>
    </xf>
    <xf numFmtId="0" fontId="0" fillId="0" borderId="1" xfId="0" applyBorder="1"/>
    <xf numFmtId="0" fontId="15" fillId="13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left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0" fillId="9" borderId="0" xfId="0" applyFont="1" applyFill="1" applyAlignment="1">
      <alignment horizontal="center" vertical="center"/>
    </xf>
    <xf numFmtId="0" fontId="15" fillId="6" borderId="1" xfId="0" applyFont="1" applyFill="1" applyBorder="1" applyAlignment="1">
      <alignment horizontal="left" vertical="center" wrapText="1"/>
    </xf>
    <xf numFmtId="0" fontId="12" fillId="14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showGridLines="0" workbookViewId="0">
      <selection sqref="A1:G1"/>
    </sheetView>
  </sheetViews>
  <sheetFormatPr defaultRowHeight="14.4" x14ac:dyDescent="0.3"/>
  <cols>
    <col min="1" max="1" width="16" customWidth="1"/>
    <col min="2" max="2" width="24" customWidth="1"/>
    <col min="3" max="3" width="16" customWidth="1"/>
    <col min="4" max="5" width="14" customWidth="1"/>
    <col min="6" max="6" width="16" customWidth="1"/>
    <col min="7" max="7" width="30" customWidth="1"/>
  </cols>
  <sheetData>
    <row r="1" spans="1:7" ht="30" customHeight="1" x14ac:dyDescent="0.3">
      <c r="A1" s="49" t="s">
        <v>0</v>
      </c>
      <c r="B1" s="46"/>
      <c r="C1" s="46"/>
      <c r="D1" s="46"/>
      <c r="E1" s="46"/>
      <c r="F1" s="46"/>
      <c r="G1" s="46"/>
    </row>
    <row r="2" spans="1:7" ht="19.95" customHeight="1" x14ac:dyDescent="0.3">
      <c r="A2" s="48" t="s">
        <v>1</v>
      </c>
      <c r="B2" s="46"/>
      <c r="C2" s="46"/>
      <c r="D2" s="46"/>
      <c r="E2" s="46"/>
      <c r="F2" s="46"/>
      <c r="G2" s="46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18" customHeight="1" x14ac:dyDescent="0.3">
      <c r="A4" s="2" t="s">
        <v>9</v>
      </c>
      <c r="B4" s="3" t="s">
        <v>10</v>
      </c>
      <c r="C4" s="4">
        <v>1299</v>
      </c>
      <c r="D4" s="4" t="s">
        <v>11</v>
      </c>
      <c r="E4" s="5" t="s">
        <v>12</v>
      </c>
      <c r="F4" s="4" t="s">
        <v>13</v>
      </c>
      <c r="G4" s="6" t="s">
        <v>14</v>
      </c>
    </row>
    <row r="5" spans="1:7" ht="18" customHeight="1" x14ac:dyDescent="0.3">
      <c r="A5" s="7" t="s">
        <v>15</v>
      </c>
      <c r="B5" s="8" t="s">
        <v>16</v>
      </c>
      <c r="C5" s="9">
        <v>199</v>
      </c>
      <c r="D5" s="9" t="s">
        <v>17</v>
      </c>
      <c r="E5" s="5" t="s">
        <v>12</v>
      </c>
      <c r="F5" s="9" t="s">
        <v>18</v>
      </c>
      <c r="G5" s="10" t="s">
        <v>19</v>
      </c>
    </row>
    <row r="6" spans="1:7" ht="18" customHeight="1" x14ac:dyDescent="0.3">
      <c r="A6" s="2" t="s">
        <v>20</v>
      </c>
      <c r="B6" s="3" t="s">
        <v>21</v>
      </c>
      <c r="C6" s="4">
        <v>449</v>
      </c>
      <c r="D6" s="4" t="s">
        <v>17</v>
      </c>
      <c r="E6" s="11" t="s">
        <v>22</v>
      </c>
      <c r="F6" s="4" t="s">
        <v>23</v>
      </c>
      <c r="G6" s="6" t="s">
        <v>24</v>
      </c>
    </row>
    <row r="7" spans="1:7" ht="18" customHeight="1" x14ac:dyDescent="0.3">
      <c r="A7" s="7" t="s">
        <v>25</v>
      </c>
      <c r="B7" s="8" t="s">
        <v>26</v>
      </c>
      <c r="C7" s="9">
        <v>149</v>
      </c>
      <c r="D7" s="9" t="s">
        <v>27</v>
      </c>
      <c r="E7" s="5" t="s">
        <v>12</v>
      </c>
      <c r="F7" s="9" t="s">
        <v>28</v>
      </c>
      <c r="G7" s="10" t="s">
        <v>29</v>
      </c>
    </row>
    <row r="8" spans="1:7" ht="18" customHeight="1" x14ac:dyDescent="0.3">
      <c r="A8" s="2" t="s">
        <v>30</v>
      </c>
      <c r="B8" s="3" t="s">
        <v>31</v>
      </c>
      <c r="C8" s="4">
        <v>2199</v>
      </c>
      <c r="D8" s="4" t="s">
        <v>11</v>
      </c>
      <c r="E8" s="12" t="s">
        <v>32</v>
      </c>
      <c r="F8" s="4" t="s">
        <v>13</v>
      </c>
      <c r="G8" s="6" t="s">
        <v>33</v>
      </c>
    </row>
    <row r="9" spans="1:7" ht="18" customHeight="1" x14ac:dyDescent="0.3">
      <c r="A9" s="7" t="s">
        <v>34</v>
      </c>
      <c r="B9" s="8" t="s">
        <v>35</v>
      </c>
      <c r="C9" s="9">
        <v>599</v>
      </c>
      <c r="D9" s="9" t="s">
        <v>36</v>
      </c>
      <c r="E9" s="5" t="s">
        <v>12</v>
      </c>
      <c r="F9" s="9" t="s">
        <v>37</v>
      </c>
      <c r="G9" s="10" t="s">
        <v>38</v>
      </c>
    </row>
    <row r="10" spans="1:7" ht="18" customHeight="1" x14ac:dyDescent="0.3">
      <c r="A10" s="2" t="s">
        <v>39</v>
      </c>
      <c r="B10" s="3" t="s">
        <v>40</v>
      </c>
      <c r="C10" s="4">
        <v>1099</v>
      </c>
      <c r="D10" s="4" t="s">
        <v>41</v>
      </c>
      <c r="E10" s="5" t="s">
        <v>12</v>
      </c>
      <c r="F10" s="4" t="s">
        <v>42</v>
      </c>
      <c r="G10" s="6" t="s">
        <v>43</v>
      </c>
    </row>
    <row r="11" spans="1:7" ht="18" customHeight="1" x14ac:dyDescent="0.3">
      <c r="A11" s="7" t="s">
        <v>44</v>
      </c>
      <c r="B11" s="8" t="s">
        <v>45</v>
      </c>
      <c r="C11" s="9">
        <v>1599</v>
      </c>
      <c r="D11" s="9" t="s">
        <v>46</v>
      </c>
      <c r="E11" s="11" t="s">
        <v>22</v>
      </c>
      <c r="F11" s="9" t="s">
        <v>47</v>
      </c>
      <c r="G11" s="10" t="s">
        <v>48</v>
      </c>
    </row>
    <row r="12" spans="1:7" ht="18" customHeight="1" x14ac:dyDescent="0.3">
      <c r="A12" s="2" t="s">
        <v>49</v>
      </c>
      <c r="B12" s="3" t="s">
        <v>50</v>
      </c>
      <c r="C12" s="4">
        <v>2499</v>
      </c>
      <c r="D12" s="4" t="s">
        <v>41</v>
      </c>
      <c r="E12" s="5" t="s">
        <v>12</v>
      </c>
      <c r="F12" s="4" t="s">
        <v>51</v>
      </c>
      <c r="G12" s="6" t="s">
        <v>52</v>
      </c>
    </row>
    <row r="13" spans="1:7" ht="18" customHeight="1" x14ac:dyDescent="0.3">
      <c r="A13" s="7" t="s">
        <v>53</v>
      </c>
      <c r="B13" s="8" t="s">
        <v>54</v>
      </c>
      <c r="C13" s="9">
        <v>3299</v>
      </c>
      <c r="D13" s="9" t="s">
        <v>41</v>
      </c>
      <c r="E13" s="12" t="s">
        <v>32</v>
      </c>
      <c r="F13" s="9" t="s">
        <v>55</v>
      </c>
      <c r="G13" s="10" t="s">
        <v>33</v>
      </c>
    </row>
    <row r="14" spans="1:7" ht="18" customHeight="1" x14ac:dyDescent="0.3">
      <c r="A14" s="2" t="s">
        <v>56</v>
      </c>
      <c r="B14" s="3" t="s">
        <v>57</v>
      </c>
      <c r="C14" s="4">
        <v>249</v>
      </c>
      <c r="D14" s="4" t="s">
        <v>17</v>
      </c>
      <c r="E14" s="5" t="s">
        <v>12</v>
      </c>
      <c r="F14" s="4" t="s">
        <v>18</v>
      </c>
      <c r="G14" s="6" t="s">
        <v>58</v>
      </c>
    </row>
    <row r="15" spans="1:7" ht="18" customHeight="1" x14ac:dyDescent="0.3">
      <c r="A15" s="7" t="s">
        <v>59</v>
      </c>
      <c r="B15" s="8" t="s">
        <v>60</v>
      </c>
      <c r="C15" s="9">
        <v>349</v>
      </c>
      <c r="D15" s="9" t="s">
        <v>17</v>
      </c>
      <c r="E15" s="5" t="s">
        <v>12</v>
      </c>
      <c r="F15" s="9" t="s">
        <v>23</v>
      </c>
      <c r="G15" s="10" t="s">
        <v>61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"/>
  <sheetViews>
    <sheetView showGridLines="0" tabSelected="1" workbookViewId="0">
      <selection activeCell="I13" sqref="I13"/>
    </sheetView>
  </sheetViews>
  <sheetFormatPr defaultRowHeight="14.4" x14ac:dyDescent="0.3"/>
  <cols>
    <col min="1" max="2" width="12" customWidth="1"/>
    <col min="3" max="3" width="14" customWidth="1"/>
    <col min="4" max="5" width="18" customWidth="1"/>
    <col min="6" max="6" width="24.5546875" customWidth="1"/>
    <col min="7" max="7" width="16" customWidth="1"/>
    <col min="8" max="8" width="18" customWidth="1"/>
    <col min="9" max="9" width="16" customWidth="1"/>
    <col min="10" max="10" width="26" customWidth="1"/>
  </cols>
  <sheetData>
    <row r="1" spans="1:10" ht="30" customHeight="1" x14ac:dyDescent="0.3">
      <c r="A1" s="49" t="s">
        <v>62</v>
      </c>
      <c r="B1" s="46"/>
      <c r="C1" s="46"/>
      <c r="D1" s="46"/>
      <c r="E1" s="46"/>
      <c r="F1" s="46"/>
      <c r="G1" s="46"/>
      <c r="H1" s="46"/>
      <c r="I1" s="46"/>
      <c r="J1" s="46"/>
    </row>
    <row r="2" spans="1:10" ht="19.95" customHeight="1" x14ac:dyDescent="0.3">
      <c r="A2" s="56" t="s">
        <v>63</v>
      </c>
      <c r="B2" s="46"/>
      <c r="C2" s="46"/>
      <c r="D2" s="46"/>
      <c r="E2" s="46"/>
      <c r="F2" s="46"/>
      <c r="G2" s="46"/>
      <c r="H2" s="46"/>
      <c r="I2" s="46"/>
      <c r="J2" s="46"/>
    </row>
    <row r="3" spans="1:10" ht="22.05" customHeight="1" x14ac:dyDescent="0.3">
      <c r="A3" s="1" t="s">
        <v>64</v>
      </c>
      <c r="B3" s="1" t="s">
        <v>65</v>
      </c>
      <c r="C3" s="1" t="s">
        <v>2</v>
      </c>
      <c r="D3" s="1" t="s">
        <v>66</v>
      </c>
      <c r="E3" s="1" t="s">
        <v>67</v>
      </c>
      <c r="F3" s="13" t="s">
        <v>3</v>
      </c>
      <c r="G3" s="13" t="s">
        <v>4</v>
      </c>
      <c r="H3" s="13" t="s">
        <v>68</v>
      </c>
      <c r="I3" s="13" t="s">
        <v>69</v>
      </c>
      <c r="J3" s="13" t="s">
        <v>70</v>
      </c>
    </row>
    <row r="4" spans="1:10" ht="18" customHeight="1" x14ac:dyDescent="0.3">
      <c r="A4" s="2" t="s">
        <v>71</v>
      </c>
      <c r="B4" s="4" t="s">
        <v>72</v>
      </c>
      <c r="C4" s="14" t="s">
        <v>9</v>
      </c>
      <c r="D4" s="4">
        <v>3</v>
      </c>
      <c r="E4" s="3" t="s">
        <v>73</v>
      </c>
      <c r="F4" s="15" t="str">
        <f>IFERROR(VLOOKUP(C4,'Product Catalogue'!A$4:C$15,2,0),"Not Found")</f>
        <v>Wireless Earphones</v>
      </c>
      <c r="G4" s="15">
        <f>IFERROR(VLOOKUP(C4,'Product Catalogue'!A$4:C$15,3,0),0)</f>
        <v>1299</v>
      </c>
      <c r="H4" s="15">
        <f>D4*G4</f>
        <v>3897</v>
      </c>
      <c r="I4" s="15" t="str">
        <f>IF(H4&gt;5000,"High Value",IF(H4&gt;2000,"Medium Value","Low Value"))</f>
        <v>Medium Value</v>
      </c>
      <c r="J4" s="15" t="str">
        <f>IF(F4="Wireless Earphones","Flagship — protect margin",IF(G4&gt;=2000,"Premium product — upsell opportunity","Standard item"))</f>
        <v>Flagship — protect margin</v>
      </c>
    </row>
    <row r="5" spans="1:10" ht="18" customHeight="1" x14ac:dyDescent="0.3">
      <c r="A5" s="7" t="s">
        <v>74</v>
      </c>
      <c r="B5" s="9" t="s">
        <v>72</v>
      </c>
      <c r="C5" s="16" t="s">
        <v>30</v>
      </c>
      <c r="D5" s="9">
        <v>1</v>
      </c>
      <c r="E5" s="8" t="s">
        <v>75</v>
      </c>
      <c r="F5" s="15" t="str">
        <f>IFERROR(VLOOKUP(C5,'Product Catalogue'!A$4:C$15,2,0),"Not Found")</f>
        <v>Bluetooth Speaker</v>
      </c>
      <c r="G5" s="15">
        <f>IFERROR(VLOOKUP(C5,'Product Catalogue'!A$4:C$15,3,0),0)</f>
        <v>2199</v>
      </c>
      <c r="H5" s="15">
        <f t="shared" ref="H5:H18" si="0">D5*G5</f>
        <v>2199</v>
      </c>
      <c r="I5" s="15" t="str">
        <f t="shared" ref="I5:I18" si="1">IF(H5&gt;5000,"High Value",IF(H5&gt;2000,"Medium Value","Low Value"))</f>
        <v>Medium Value</v>
      </c>
      <c r="J5" s="15" t="str">
        <f t="shared" ref="J5:J18" si="2">IF(F5="Wireless Earphones","Flagship — protect margin",IF(G5&gt;=2000,"Premium product — upsell opportunity","Standard item"))</f>
        <v>Premium product — upsell opportunity</v>
      </c>
    </row>
    <row r="6" spans="1:10" ht="18" customHeight="1" x14ac:dyDescent="0.3">
      <c r="A6" s="2" t="s">
        <v>76</v>
      </c>
      <c r="B6" s="4" t="s">
        <v>77</v>
      </c>
      <c r="C6" s="14" t="s">
        <v>15</v>
      </c>
      <c r="D6" s="4">
        <v>10</v>
      </c>
      <c r="E6" s="3" t="s">
        <v>73</v>
      </c>
      <c r="F6" s="15" t="str">
        <f>IFERROR(VLOOKUP(C6,'Product Catalogue'!A$4:C$15,2,0),"Not Found")</f>
        <v>USB-C Cable 1m</v>
      </c>
      <c r="G6" s="15">
        <f>IFERROR(VLOOKUP(C6,'Product Catalogue'!A$4:C$15,3,0),0)</f>
        <v>199</v>
      </c>
      <c r="H6" s="15">
        <f t="shared" si="0"/>
        <v>1990</v>
      </c>
      <c r="I6" s="15" t="str">
        <f t="shared" si="1"/>
        <v>Low Value</v>
      </c>
      <c r="J6" s="15" t="str">
        <f t="shared" si="2"/>
        <v>Standard item</v>
      </c>
    </row>
    <row r="7" spans="1:10" ht="18" customHeight="1" x14ac:dyDescent="0.3">
      <c r="A7" s="7" t="s">
        <v>78</v>
      </c>
      <c r="B7" s="9" t="s">
        <v>77</v>
      </c>
      <c r="C7" s="16" t="s">
        <v>44</v>
      </c>
      <c r="D7" s="9">
        <v>2</v>
      </c>
      <c r="E7" s="8" t="s">
        <v>79</v>
      </c>
      <c r="F7" s="15" t="str">
        <f>IFERROR(VLOOKUP(C7,'Product Catalogue'!A$4:C$15,2,0),"Not Found")</f>
        <v>Power Bank 10000mAh</v>
      </c>
      <c r="G7" s="15">
        <f>IFERROR(VLOOKUP(C7,'Product Catalogue'!A$4:C$15,3,0),0)</f>
        <v>1599</v>
      </c>
      <c r="H7" s="15">
        <f t="shared" si="0"/>
        <v>3198</v>
      </c>
      <c r="I7" s="15" t="str">
        <f t="shared" si="1"/>
        <v>Medium Value</v>
      </c>
      <c r="J7" s="15" t="str">
        <f t="shared" si="2"/>
        <v>Standard item</v>
      </c>
    </row>
    <row r="8" spans="1:10" ht="18" customHeight="1" x14ac:dyDescent="0.3">
      <c r="A8" s="2" t="s">
        <v>80</v>
      </c>
      <c r="B8" s="4" t="s">
        <v>81</v>
      </c>
      <c r="C8" s="14" t="s">
        <v>53</v>
      </c>
      <c r="D8" s="4">
        <v>1</v>
      </c>
      <c r="E8" s="3" t="s">
        <v>82</v>
      </c>
      <c r="F8" s="15" t="str">
        <f>IFERROR(VLOOKUP(C8,'Product Catalogue'!A$4:C$15,2,0),"Not Found")</f>
        <v>Mechanical Keyboard</v>
      </c>
      <c r="G8" s="15">
        <f>IFERROR(VLOOKUP(C8,'Product Catalogue'!A$4:C$15,3,0),0)</f>
        <v>3299</v>
      </c>
      <c r="H8" s="15">
        <f t="shared" si="0"/>
        <v>3299</v>
      </c>
      <c r="I8" s="15" t="str">
        <f t="shared" si="1"/>
        <v>Medium Value</v>
      </c>
      <c r="J8" s="15" t="str">
        <f t="shared" si="2"/>
        <v>Premium product — upsell opportunity</v>
      </c>
    </row>
    <row r="9" spans="1:10" ht="18" customHeight="1" x14ac:dyDescent="0.3">
      <c r="A9" s="7" t="s">
        <v>83</v>
      </c>
      <c r="B9" s="9" t="s">
        <v>81</v>
      </c>
      <c r="C9" s="16" t="s">
        <v>20</v>
      </c>
      <c r="D9" s="9">
        <v>5</v>
      </c>
      <c r="E9" s="8" t="s">
        <v>75</v>
      </c>
      <c r="F9" s="15" t="str">
        <f>IFERROR(VLOOKUP(C9,'Product Catalogue'!A$4:C$15,2,0),"Not Found")</f>
        <v>Phone Stand Adjustable</v>
      </c>
      <c r="G9" s="15">
        <f>IFERROR(VLOOKUP(C9,'Product Catalogue'!A$4:C$15,3,0),0)</f>
        <v>449</v>
      </c>
      <c r="H9" s="15">
        <f t="shared" si="0"/>
        <v>2245</v>
      </c>
      <c r="I9" s="15" t="str">
        <f t="shared" si="1"/>
        <v>Medium Value</v>
      </c>
      <c r="J9" s="15" t="str">
        <f t="shared" si="2"/>
        <v>Standard item</v>
      </c>
    </row>
    <row r="10" spans="1:10" ht="18" customHeight="1" x14ac:dyDescent="0.3">
      <c r="A10" s="2" t="s">
        <v>84</v>
      </c>
      <c r="B10" s="4" t="s">
        <v>85</v>
      </c>
      <c r="C10" s="14" t="s">
        <v>39</v>
      </c>
      <c r="D10" s="4">
        <v>4</v>
      </c>
      <c r="E10" s="3" t="s">
        <v>73</v>
      </c>
      <c r="F10" s="15" t="str">
        <f>IFERROR(VLOOKUP(C10,'Product Catalogue'!A$4:C$15,2,0),"Not Found")</f>
        <v>Wireless Mouse</v>
      </c>
      <c r="G10" s="15">
        <f>IFERROR(VLOOKUP(C10,'Product Catalogue'!A$4:C$15,3,0),0)</f>
        <v>1099</v>
      </c>
      <c r="H10" s="15">
        <f t="shared" si="0"/>
        <v>4396</v>
      </c>
      <c r="I10" s="15" t="str">
        <f t="shared" si="1"/>
        <v>Medium Value</v>
      </c>
      <c r="J10" s="15" t="str">
        <f t="shared" si="2"/>
        <v>Standard item</v>
      </c>
    </row>
    <row r="11" spans="1:10" ht="18" customHeight="1" x14ac:dyDescent="0.3">
      <c r="A11" s="7" t="s">
        <v>86</v>
      </c>
      <c r="B11" s="9" t="s">
        <v>85</v>
      </c>
      <c r="C11" s="16" t="s">
        <v>25</v>
      </c>
      <c r="D11" s="9">
        <v>15</v>
      </c>
      <c r="E11" s="8" t="s">
        <v>79</v>
      </c>
      <c r="F11" s="15" t="str">
        <f>IFERROR(VLOOKUP(C11,'Product Catalogue'!A$4:C$15,2,0),"Not Found")</f>
        <v>Tempered Glass 6.1</v>
      </c>
      <c r="G11" s="15">
        <f>IFERROR(VLOOKUP(C11,'Product Catalogue'!A$4:C$15,3,0),0)</f>
        <v>149</v>
      </c>
      <c r="H11" s="15">
        <f t="shared" si="0"/>
        <v>2235</v>
      </c>
      <c r="I11" s="15" t="str">
        <f t="shared" si="1"/>
        <v>Medium Value</v>
      </c>
      <c r="J11" s="15" t="str">
        <f t="shared" si="2"/>
        <v>Standard item</v>
      </c>
    </row>
    <row r="12" spans="1:10" ht="18" customHeight="1" x14ac:dyDescent="0.3">
      <c r="A12" s="2" t="s">
        <v>87</v>
      </c>
      <c r="B12" s="4" t="s">
        <v>88</v>
      </c>
      <c r="C12" s="14" t="s">
        <v>49</v>
      </c>
      <c r="D12" s="4">
        <v>2</v>
      </c>
      <c r="E12" s="3" t="s">
        <v>82</v>
      </c>
      <c r="F12" s="15" t="str">
        <f>IFERROR(VLOOKUP(C12,'Product Catalogue'!A$4:C$15,2,0),"Not Found")</f>
        <v>Webcam 1080p</v>
      </c>
      <c r="G12" s="15">
        <f>IFERROR(VLOOKUP(C12,'Product Catalogue'!A$4:C$15,3,0),0)</f>
        <v>2499</v>
      </c>
      <c r="H12" s="15">
        <f t="shared" si="0"/>
        <v>4998</v>
      </c>
      <c r="I12" s="15" t="str">
        <f t="shared" si="1"/>
        <v>Medium Value</v>
      </c>
      <c r="J12" s="15" t="str">
        <f t="shared" si="2"/>
        <v>Premium product — upsell opportunity</v>
      </c>
    </row>
    <row r="13" spans="1:10" ht="18" customHeight="1" x14ac:dyDescent="0.3">
      <c r="A13" s="7" t="s">
        <v>89</v>
      </c>
      <c r="B13" s="9" t="s">
        <v>88</v>
      </c>
      <c r="C13" s="16" t="s">
        <v>34</v>
      </c>
      <c r="D13" s="9">
        <v>3</v>
      </c>
      <c r="E13" s="8" t="s">
        <v>75</v>
      </c>
      <c r="F13" s="15" t="str">
        <f>IFERROR(VLOOKUP(C13,'Product Catalogue'!A$4:C$15,2,0),"Not Found")</f>
        <v>Laptop Sleeve 15</v>
      </c>
      <c r="G13" s="15">
        <f>IFERROR(VLOOKUP(C13,'Product Catalogue'!A$4:C$15,3,0),0)</f>
        <v>599</v>
      </c>
      <c r="H13" s="15">
        <f t="shared" si="0"/>
        <v>1797</v>
      </c>
      <c r="I13" s="15" t="str">
        <f t="shared" si="1"/>
        <v>Low Value</v>
      </c>
      <c r="J13" s="15" t="str">
        <f t="shared" si="2"/>
        <v>Standard item</v>
      </c>
    </row>
    <row r="14" spans="1:10" ht="18" customHeight="1" x14ac:dyDescent="0.3">
      <c r="A14" s="2" t="s">
        <v>90</v>
      </c>
      <c r="B14" s="4" t="s">
        <v>91</v>
      </c>
      <c r="C14" s="14" t="s">
        <v>56</v>
      </c>
      <c r="D14" s="4">
        <v>20</v>
      </c>
      <c r="E14" s="3" t="s">
        <v>73</v>
      </c>
      <c r="F14" s="15" t="str">
        <f>IFERROR(VLOOKUP(C14,'Product Catalogue'!A$4:C$15,2,0),"Not Found")</f>
        <v>HDMI Cable 2m</v>
      </c>
      <c r="G14" s="15">
        <f>IFERROR(VLOOKUP(C14,'Product Catalogue'!A$4:C$15,3,0),0)</f>
        <v>249</v>
      </c>
      <c r="H14" s="15">
        <f t="shared" si="0"/>
        <v>4980</v>
      </c>
      <c r="I14" s="15" t="str">
        <f t="shared" si="1"/>
        <v>Medium Value</v>
      </c>
      <c r="J14" s="15" t="str">
        <f t="shared" si="2"/>
        <v>Standard item</v>
      </c>
    </row>
    <row r="15" spans="1:10" ht="18" customHeight="1" x14ac:dyDescent="0.3">
      <c r="A15" s="7" t="s">
        <v>92</v>
      </c>
      <c r="B15" s="9" t="s">
        <v>91</v>
      </c>
      <c r="C15" s="16" t="s">
        <v>59</v>
      </c>
      <c r="D15" s="9">
        <v>7</v>
      </c>
      <c r="E15" s="8" t="s">
        <v>79</v>
      </c>
      <c r="F15" s="15" t="str">
        <f>IFERROR(VLOOKUP(C15,'Product Catalogue'!A$4:C$15,2,0),"Not Found")</f>
        <v>Phone Holder Car</v>
      </c>
      <c r="G15" s="15">
        <f>IFERROR(VLOOKUP(C15,'Product Catalogue'!A$4:C$15,3,0),0)</f>
        <v>349</v>
      </c>
      <c r="H15" s="15">
        <f t="shared" si="0"/>
        <v>2443</v>
      </c>
      <c r="I15" s="15" t="str">
        <f t="shared" si="1"/>
        <v>Medium Value</v>
      </c>
      <c r="J15" s="15" t="str">
        <f t="shared" si="2"/>
        <v>Standard item</v>
      </c>
    </row>
    <row r="16" spans="1:10" ht="18" customHeight="1" x14ac:dyDescent="0.3">
      <c r="A16" s="2" t="s">
        <v>93</v>
      </c>
      <c r="B16" s="4" t="s">
        <v>94</v>
      </c>
      <c r="C16" s="14" t="s">
        <v>9</v>
      </c>
      <c r="D16" s="4">
        <v>5</v>
      </c>
      <c r="E16" s="3" t="s">
        <v>82</v>
      </c>
      <c r="F16" s="15" t="str">
        <f>IFERROR(VLOOKUP(C16,'Product Catalogue'!A$4:C$15,2,0),"Not Found")</f>
        <v>Wireless Earphones</v>
      </c>
      <c r="G16" s="15">
        <f>IFERROR(VLOOKUP(C16,'Product Catalogue'!A$4:C$15,3,0),0)</f>
        <v>1299</v>
      </c>
      <c r="H16" s="15">
        <f t="shared" si="0"/>
        <v>6495</v>
      </c>
      <c r="I16" s="15" t="str">
        <f t="shared" si="1"/>
        <v>High Value</v>
      </c>
      <c r="J16" s="15" t="str">
        <f t="shared" si="2"/>
        <v>Flagship — protect margin</v>
      </c>
    </row>
    <row r="17" spans="1:10" ht="18" customHeight="1" x14ac:dyDescent="0.3">
      <c r="A17" s="7" t="s">
        <v>95</v>
      </c>
      <c r="B17" s="9" t="s">
        <v>94</v>
      </c>
      <c r="C17" s="16" t="s">
        <v>15</v>
      </c>
      <c r="D17" s="9">
        <v>8</v>
      </c>
      <c r="E17" s="8" t="s">
        <v>75</v>
      </c>
      <c r="F17" s="15" t="str">
        <f>IFERROR(VLOOKUP(C17,'Product Catalogue'!A$4:C$15,2,0),"Not Found")</f>
        <v>USB-C Cable 1m</v>
      </c>
      <c r="G17" s="15">
        <f>IFERROR(VLOOKUP(C17,'Product Catalogue'!A$4:C$15,3,0),0)</f>
        <v>199</v>
      </c>
      <c r="H17" s="15">
        <f t="shared" si="0"/>
        <v>1592</v>
      </c>
      <c r="I17" s="15" t="str">
        <f t="shared" si="1"/>
        <v>Low Value</v>
      </c>
      <c r="J17" s="15" t="str">
        <f t="shared" si="2"/>
        <v>Standard item</v>
      </c>
    </row>
    <row r="18" spans="1:10" ht="18" customHeight="1" x14ac:dyDescent="0.3">
      <c r="A18" s="2" t="s">
        <v>96</v>
      </c>
      <c r="B18" s="4" t="s">
        <v>97</v>
      </c>
      <c r="C18" s="14" t="s">
        <v>30</v>
      </c>
      <c r="D18" s="4">
        <v>2</v>
      </c>
      <c r="E18" s="3" t="s">
        <v>73</v>
      </c>
      <c r="F18" s="15" t="str">
        <f>IFERROR(VLOOKUP(C18,'Product Catalogue'!A$4:C$15,2,0),"Not Found")</f>
        <v>Bluetooth Speaker</v>
      </c>
      <c r="G18" s="15">
        <f>IFERROR(VLOOKUP(C18,'Product Catalogue'!A$4:C$15,3,0),0)</f>
        <v>2199</v>
      </c>
      <c r="H18" s="15">
        <f t="shared" si="0"/>
        <v>4398</v>
      </c>
      <c r="I18" s="15" t="str">
        <f t="shared" si="1"/>
        <v>Medium Value</v>
      </c>
      <c r="J18" s="15" t="str">
        <f t="shared" si="2"/>
        <v>Premium product — upsell opportunity</v>
      </c>
    </row>
    <row r="19" spans="1:10" x14ac:dyDescent="0.3">
      <c r="A19" s="17"/>
      <c r="B19" s="17"/>
      <c r="C19" s="17"/>
      <c r="D19" s="17"/>
      <c r="E19" s="17"/>
      <c r="F19" s="17"/>
      <c r="G19" s="17"/>
      <c r="H19" s="17"/>
      <c r="I19" s="17"/>
      <c r="J19" s="17"/>
    </row>
    <row r="21" spans="1:10" ht="22.05" customHeight="1" x14ac:dyDescent="0.3">
      <c r="A21" s="53" t="s">
        <v>98</v>
      </c>
      <c r="B21" s="51"/>
      <c r="C21" s="51"/>
      <c r="D21" s="51"/>
      <c r="E21" s="51"/>
      <c r="F21" s="51"/>
      <c r="G21" s="51"/>
      <c r="H21" s="51"/>
      <c r="I21" s="51"/>
      <c r="J21" s="51"/>
    </row>
    <row r="22" spans="1:10" ht="22.05" customHeight="1" x14ac:dyDescent="0.3">
      <c r="A22" s="18" t="s">
        <v>99</v>
      </c>
      <c r="B22" s="19" t="s">
        <v>100</v>
      </c>
      <c r="C22" s="20" t="s">
        <v>3</v>
      </c>
      <c r="D22" s="50" t="e">
        <f ca="1">XLOOKUP(C4,'Product Catalogue'!A$4:A$15,'Product Catalogue'!B$4:B$15,"Not Found")</f>
        <v>#NAME?</v>
      </c>
      <c r="E22" s="51"/>
      <c r="F22" s="51"/>
      <c r="G22" s="51"/>
      <c r="H22" s="51"/>
      <c r="I22" s="51"/>
      <c r="J22" s="51"/>
    </row>
    <row r="23" spans="1:10" ht="22.05" customHeight="1" x14ac:dyDescent="0.3">
      <c r="A23" s="21" t="s">
        <v>101</v>
      </c>
      <c r="B23" s="22" t="s">
        <v>100</v>
      </c>
      <c r="C23" s="23" t="s">
        <v>4</v>
      </c>
      <c r="D23" s="57" t="e">
        <f ca="1">XLOOKUP(C4,'Product Catalogue'!A$4:A$15,'Product Catalogue'!C$4:C$15,0)</f>
        <v>#NAME?</v>
      </c>
      <c r="E23" s="51"/>
      <c r="F23" s="51"/>
      <c r="G23" s="51"/>
      <c r="H23" s="51"/>
      <c r="I23" s="51"/>
      <c r="J23" s="51"/>
    </row>
    <row r="24" spans="1:10" ht="22.05" customHeight="1" x14ac:dyDescent="0.3">
      <c r="A24" s="24" t="s">
        <v>102</v>
      </c>
      <c r="B24" s="25" t="s">
        <v>103</v>
      </c>
      <c r="C24" s="26" t="s">
        <v>68</v>
      </c>
      <c r="D24" s="55" t="e">
        <f>G4*D4     #REF!</f>
        <v>#REF!</v>
      </c>
      <c r="E24" s="51"/>
      <c r="F24" s="51"/>
      <c r="G24" s="51"/>
      <c r="H24" s="51"/>
      <c r="I24" s="51"/>
      <c r="J24" s="51"/>
    </row>
    <row r="25" spans="1:10" ht="22.05" customHeight="1" x14ac:dyDescent="0.3">
      <c r="A25" s="27" t="s">
        <v>104</v>
      </c>
      <c r="B25" s="28" t="s">
        <v>105</v>
      </c>
      <c r="C25" s="29" t="s">
        <v>69</v>
      </c>
      <c r="D25" s="54" t="e">
        <f ca="1">_xludf.IFS(H4&gt;=5000,"High Value",H4&gt;=2000,"Medium Value",H4&lt;2000,"Low Value")</f>
        <v>#NAME?</v>
      </c>
      <c r="E25" s="51"/>
      <c r="F25" s="51"/>
      <c r="G25" s="51"/>
      <c r="H25" s="51"/>
      <c r="I25" s="51"/>
      <c r="J25" s="51"/>
    </row>
    <row r="26" spans="1:10" ht="22.05" customHeight="1" x14ac:dyDescent="0.3">
      <c r="A26" s="30" t="s">
        <v>106</v>
      </c>
      <c r="B26" s="31" t="s">
        <v>107</v>
      </c>
      <c r="C26" s="32" t="s">
        <v>70</v>
      </c>
      <c r="D26" s="52" t="str">
        <f>IF(F4="Wireless Earphones","Flagship — protect margin",IF(G4&gt;=2000,"Premium product — upsell opportunity","Standard item"))</f>
        <v>Flagship — protect margin</v>
      </c>
      <c r="E26" s="51"/>
      <c r="F26" s="51"/>
      <c r="G26" s="51"/>
      <c r="H26" s="51"/>
      <c r="I26" s="51"/>
      <c r="J26" s="51"/>
    </row>
    <row r="27" spans="1:10" ht="22.05" customHeight="1" x14ac:dyDescent="0.3">
      <c r="A27" s="17"/>
      <c r="B27" s="17"/>
      <c r="C27" s="17"/>
      <c r="D27" s="17"/>
      <c r="E27" s="17"/>
      <c r="F27" s="17"/>
      <c r="G27" s="17"/>
      <c r="H27" s="17"/>
      <c r="I27" s="17"/>
      <c r="J27" s="17"/>
    </row>
  </sheetData>
  <mergeCells count="8">
    <mergeCell ref="A1:J1"/>
    <mergeCell ref="D22:J22"/>
    <mergeCell ref="D26:J26"/>
    <mergeCell ref="A21:J21"/>
    <mergeCell ref="D25:J25"/>
    <mergeCell ref="D24:J24"/>
    <mergeCell ref="A2:J2"/>
    <mergeCell ref="D23:J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showGridLines="0" workbookViewId="0">
      <selection activeCell="B12" sqref="B12"/>
    </sheetView>
  </sheetViews>
  <sheetFormatPr defaultRowHeight="14.4" x14ac:dyDescent="0.3"/>
  <cols>
    <col min="1" max="1" width="24" customWidth="1"/>
    <col min="2" max="2" width="50" customWidth="1"/>
    <col min="3" max="3" width="42" customWidth="1"/>
  </cols>
  <sheetData>
    <row r="1" spans="1:3" ht="30" customHeight="1" x14ac:dyDescent="0.3">
      <c r="A1" s="45" t="s">
        <v>108</v>
      </c>
      <c r="B1" s="46"/>
      <c r="C1" s="46"/>
    </row>
    <row r="2" spans="1:3" x14ac:dyDescent="0.3">
      <c r="A2" s="33" t="s">
        <v>109</v>
      </c>
      <c r="B2" s="33" t="s">
        <v>110</v>
      </c>
      <c r="C2" s="33" t="s">
        <v>111</v>
      </c>
    </row>
    <row r="3" spans="1:3" ht="22.05" customHeight="1" x14ac:dyDescent="0.3">
      <c r="A3" s="47" t="s">
        <v>112</v>
      </c>
      <c r="B3" s="46"/>
      <c r="C3" s="46"/>
    </row>
    <row r="4" spans="1:3" ht="22.05" customHeight="1" x14ac:dyDescent="0.3">
      <c r="A4" s="34" t="s">
        <v>113</v>
      </c>
      <c r="B4" s="35" t="e">
        <f ca="1">XLOOKUP(lookup_value, lookup_array, return_array, if_not_found)</f>
        <v>#NAME?</v>
      </c>
      <c r="C4" s="36" t="s">
        <v>114</v>
      </c>
    </row>
    <row r="5" spans="1:3" ht="22.05" customHeight="1" x14ac:dyDescent="0.3">
      <c r="A5" s="34" t="s">
        <v>115</v>
      </c>
      <c r="B5" s="35" t="s">
        <v>116</v>
      </c>
      <c r="C5" s="36" t="s">
        <v>117</v>
      </c>
    </row>
    <row r="6" spans="1:3" ht="22.05" customHeight="1" x14ac:dyDescent="0.3">
      <c r="A6" s="34" t="s">
        <v>118</v>
      </c>
      <c r="B6" s="35" t="s">
        <v>119</v>
      </c>
      <c r="C6" s="36" t="s">
        <v>120</v>
      </c>
    </row>
    <row r="7" spans="1:3" ht="22.05" customHeight="1" x14ac:dyDescent="0.3">
      <c r="A7" s="34" t="s">
        <v>121</v>
      </c>
      <c r="B7" s="35" t="s">
        <v>122</v>
      </c>
      <c r="C7" s="36" t="s">
        <v>123</v>
      </c>
    </row>
    <row r="8" spans="1:3" ht="22.05" customHeight="1" x14ac:dyDescent="0.3">
      <c r="A8" s="47" t="s">
        <v>124</v>
      </c>
      <c r="B8" s="46"/>
      <c r="C8" s="46"/>
    </row>
    <row r="9" spans="1:3" ht="22.05" customHeight="1" x14ac:dyDescent="0.3">
      <c r="A9" s="34" t="s">
        <v>125</v>
      </c>
      <c r="B9" s="35" t="s">
        <v>126</v>
      </c>
      <c r="C9" s="36" t="s">
        <v>127</v>
      </c>
    </row>
    <row r="10" spans="1:3" ht="22.05" customHeight="1" x14ac:dyDescent="0.3">
      <c r="A10" s="34" t="s">
        <v>107</v>
      </c>
      <c r="B10" s="35" t="s">
        <v>128</v>
      </c>
      <c r="C10" s="36" t="s">
        <v>129</v>
      </c>
    </row>
    <row r="11" spans="1:3" ht="22.05" customHeight="1" x14ac:dyDescent="0.3">
      <c r="A11" s="34" t="s">
        <v>130</v>
      </c>
      <c r="B11" s="35" t="s">
        <v>131</v>
      </c>
      <c r="C11" s="36" t="s">
        <v>132</v>
      </c>
    </row>
    <row r="12" spans="1:3" ht="22.05" customHeight="1" x14ac:dyDescent="0.3">
      <c r="A12" s="34" t="s">
        <v>133</v>
      </c>
      <c r="B12" s="35" t="s">
        <v>134</v>
      </c>
      <c r="C12" s="36" t="s">
        <v>135</v>
      </c>
    </row>
    <row r="13" spans="1:3" ht="22.05" customHeight="1" x14ac:dyDescent="0.3">
      <c r="A13" s="47" t="s">
        <v>136</v>
      </c>
      <c r="B13" s="46"/>
      <c r="C13" s="46"/>
    </row>
    <row r="14" spans="1:3" ht="22.05" customHeight="1" x14ac:dyDescent="0.3">
      <c r="A14" s="34" t="s">
        <v>137</v>
      </c>
      <c r="B14" s="35" t="s">
        <v>138</v>
      </c>
      <c r="C14" s="36" t="s">
        <v>139</v>
      </c>
    </row>
    <row r="15" spans="1:3" ht="22.05" customHeight="1" x14ac:dyDescent="0.3">
      <c r="A15" s="34" t="s">
        <v>140</v>
      </c>
      <c r="B15" s="35" t="s">
        <v>141</v>
      </c>
      <c r="C15" s="36" t="s">
        <v>142</v>
      </c>
    </row>
    <row r="16" spans="1:3" ht="22.05" customHeight="1" x14ac:dyDescent="0.3">
      <c r="A16" s="34" t="s">
        <v>143</v>
      </c>
      <c r="B16" s="35" t="s">
        <v>144</v>
      </c>
      <c r="C16" s="36" t="s">
        <v>145</v>
      </c>
    </row>
    <row r="17" spans="1:3" ht="22.05" customHeight="1" x14ac:dyDescent="0.3">
      <c r="A17" s="34" t="s">
        <v>146</v>
      </c>
      <c r="B17" s="35" t="s">
        <v>147</v>
      </c>
      <c r="C17" s="36" t="s">
        <v>148</v>
      </c>
    </row>
  </sheetData>
  <mergeCells count="4">
    <mergeCell ref="A1:C1"/>
    <mergeCell ref="A8:C8"/>
    <mergeCell ref="A13:C13"/>
    <mergeCell ref="A3:C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8"/>
  <sheetViews>
    <sheetView showGridLines="0" topLeftCell="A4" workbookViewId="0">
      <selection activeCell="C24" sqref="C24"/>
    </sheetView>
  </sheetViews>
  <sheetFormatPr defaultRowHeight="14.4" x14ac:dyDescent="0.3"/>
  <cols>
    <col min="1" max="1" width="30" customWidth="1"/>
    <col min="2" max="2" width="14" customWidth="1"/>
    <col min="3" max="3" width="54" customWidth="1"/>
  </cols>
  <sheetData>
    <row r="1" spans="1:3" ht="28.05" customHeight="1" x14ac:dyDescent="0.3">
      <c r="A1" s="45" t="s">
        <v>149</v>
      </c>
      <c r="B1" s="46"/>
      <c r="C1" s="46"/>
    </row>
    <row r="2" spans="1:3" x14ac:dyDescent="0.3">
      <c r="A2" s="1" t="s">
        <v>150</v>
      </c>
      <c r="B2" s="1" t="s">
        <v>151</v>
      </c>
      <c r="C2" s="1" t="s">
        <v>152</v>
      </c>
    </row>
    <row r="3" spans="1:3" ht="22.05" customHeight="1" x14ac:dyDescent="0.3">
      <c r="A3" s="37" t="s">
        <v>153</v>
      </c>
      <c r="B3" s="38" t="s">
        <v>154</v>
      </c>
      <c r="C3" s="35" t="s">
        <v>155</v>
      </c>
    </row>
    <row r="4" spans="1:3" ht="22.05" customHeight="1" x14ac:dyDescent="0.3">
      <c r="A4" s="34" t="s">
        <v>156</v>
      </c>
      <c r="B4" s="39" t="s">
        <v>154</v>
      </c>
      <c r="C4" s="40" t="s">
        <v>157</v>
      </c>
    </row>
    <row r="5" spans="1:3" ht="22.05" customHeight="1" x14ac:dyDescent="0.3">
      <c r="A5" s="37" t="s">
        <v>158</v>
      </c>
      <c r="B5" s="38" t="s">
        <v>159</v>
      </c>
      <c r="C5" s="35"/>
    </row>
    <row r="6" spans="1:3" ht="22.05" customHeight="1" x14ac:dyDescent="0.3">
      <c r="A6" s="34" t="s">
        <v>160</v>
      </c>
      <c r="B6" s="39" t="s">
        <v>154</v>
      </c>
      <c r="C6" s="40" t="s">
        <v>161</v>
      </c>
    </row>
    <row r="7" spans="1:3" ht="22.05" customHeight="1" x14ac:dyDescent="0.3">
      <c r="A7" s="37" t="s">
        <v>162</v>
      </c>
      <c r="B7" s="38" t="s">
        <v>159</v>
      </c>
      <c r="C7" s="35" t="s">
        <v>163</v>
      </c>
    </row>
    <row r="8" spans="1:3" ht="22.05" customHeight="1" x14ac:dyDescent="0.3">
      <c r="A8" s="34" t="s">
        <v>164</v>
      </c>
      <c r="B8" s="39" t="s">
        <v>165</v>
      </c>
      <c r="C8" s="40" t="s">
        <v>166</v>
      </c>
    </row>
    <row r="10" spans="1:3" ht="40.049999999999997" customHeight="1" x14ac:dyDescent="0.3">
      <c r="A10" s="59" t="s">
        <v>167</v>
      </c>
      <c r="B10" s="46"/>
      <c r="C10" s="46"/>
    </row>
    <row r="12" spans="1:3" ht="22.05" customHeight="1" x14ac:dyDescent="0.3">
      <c r="A12" s="58" t="s">
        <v>168</v>
      </c>
      <c r="B12" s="46"/>
      <c r="C12" s="46"/>
    </row>
    <row r="13" spans="1:3" x14ac:dyDescent="0.3">
      <c r="A13" s="1" t="s">
        <v>64</v>
      </c>
      <c r="B13" s="1" t="s">
        <v>3</v>
      </c>
      <c r="C13" s="1" t="s">
        <v>169</v>
      </c>
    </row>
    <row r="14" spans="1:3" ht="18" customHeight="1" x14ac:dyDescent="0.3">
      <c r="A14" s="41" t="s">
        <v>71</v>
      </c>
      <c r="B14" s="37" t="s">
        <v>10</v>
      </c>
      <c r="C14" s="42" t="s">
        <v>170</v>
      </c>
    </row>
    <row r="15" spans="1:3" ht="18" customHeight="1" x14ac:dyDescent="0.3">
      <c r="A15" s="43" t="s">
        <v>74</v>
      </c>
      <c r="B15" s="34" t="s">
        <v>31</v>
      </c>
      <c r="C15" s="44" t="s">
        <v>171</v>
      </c>
    </row>
    <row r="16" spans="1:3" ht="18" customHeight="1" x14ac:dyDescent="0.3">
      <c r="A16" s="41" t="s">
        <v>76</v>
      </c>
      <c r="B16" s="37" t="s">
        <v>16</v>
      </c>
      <c r="C16" s="42" t="s">
        <v>172</v>
      </c>
    </row>
    <row r="17" spans="1:3" ht="18" customHeight="1" x14ac:dyDescent="0.3">
      <c r="A17" s="43" t="s">
        <v>78</v>
      </c>
      <c r="B17" s="34" t="s">
        <v>45</v>
      </c>
      <c r="C17" s="44" t="s">
        <v>173</v>
      </c>
    </row>
    <row r="18" spans="1:3" ht="18" customHeight="1" x14ac:dyDescent="0.3">
      <c r="A18" s="41" t="s">
        <v>80</v>
      </c>
      <c r="B18" s="37" t="s">
        <v>54</v>
      </c>
      <c r="C18" s="42" t="s">
        <v>174</v>
      </c>
    </row>
    <row r="19" spans="1:3" ht="18" customHeight="1" x14ac:dyDescent="0.3">
      <c r="A19" s="43" t="s">
        <v>83</v>
      </c>
      <c r="B19" s="34" t="s">
        <v>21</v>
      </c>
      <c r="C19" s="44" t="s">
        <v>175</v>
      </c>
    </row>
    <row r="20" spans="1:3" ht="18" customHeight="1" x14ac:dyDescent="0.3">
      <c r="A20" s="41" t="s">
        <v>84</v>
      </c>
      <c r="B20" s="37" t="s">
        <v>40</v>
      </c>
      <c r="C20" s="42" t="s">
        <v>176</v>
      </c>
    </row>
    <row r="21" spans="1:3" ht="18" customHeight="1" x14ac:dyDescent="0.3">
      <c r="A21" s="43" t="s">
        <v>86</v>
      </c>
      <c r="B21" s="34" t="s">
        <v>26</v>
      </c>
      <c r="C21" s="44" t="s">
        <v>177</v>
      </c>
    </row>
    <row r="22" spans="1:3" ht="18" customHeight="1" x14ac:dyDescent="0.3">
      <c r="A22" s="41" t="s">
        <v>87</v>
      </c>
      <c r="B22" s="37" t="s">
        <v>50</v>
      </c>
      <c r="C22" s="42" t="s">
        <v>178</v>
      </c>
    </row>
    <row r="23" spans="1:3" ht="18" customHeight="1" x14ac:dyDescent="0.3">
      <c r="A23" s="43" t="s">
        <v>89</v>
      </c>
      <c r="B23" s="34" t="s">
        <v>35</v>
      </c>
      <c r="C23" s="44" t="s">
        <v>179</v>
      </c>
    </row>
    <row r="24" spans="1:3" ht="18" customHeight="1" x14ac:dyDescent="0.3">
      <c r="A24" s="41" t="s">
        <v>90</v>
      </c>
      <c r="B24" s="37" t="s">
        <v>57</v>
      </c>
      <c r="C24" s="42" t="s">
        <v>180</v>
      </c>
    </row>
    <row r="25" spans="1:3" ht="18" customHeight="1" x14ac:dyDescent="0.3">
      <c r="A25" s="43" t="s">
        <v>92</v>
      </c>
      <c r="B25" s="34" t="s">
        <v>60</v>
      </c>
      <c r="C25" s="44" t="s">
        <v>181</v>
      </c>
    </row>
    <row r="26" spans="1:3" ht="18" customHeight="1" x14ac:dyDescent="0.3">
      <c r="A26" s="41" t="s">
        <v>93</v>
      </c>
      <c r="B26" s="37" t="s">
        <v>10</v>
      </c>
      <c r="C26" s="42" t="s">
        <v>182</v>
      </c>
    </row>
    <row r="27" spans="1:3" ht="18" customHeight="1" x14ac:dyDescent="0.3">
      <c r="A27" s="43" t="s">
        <v>95</v>
      </c>
      <c r="B27" s="34" t="s">
        <v>16</v>
      </c>
      <c r="C27" s="44" t="s">
        <v>183</v>
      </c>
    </row>
    <row r="28" spans="1:3" ht="18" customHeight="1" x14ac:dyDescent="0.3">
      <c r="A28" s="41" t="s">
        <v>96</v>
      </c>
      <c r="B28" s="37" t="s">
        <v>31</v>
      </c>
      <c r="C28" s="42" t="s">
        <v>184</v>
      </c>
    </row>
  </sheetData>
  <mergeCells count="3">
    <mergeCell ref="A1:C1"/>
    <mergeCell ref="A12:C12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Catalogue</vt:lpstr>
      <vt:lpstr>Sales Log</vt:lpstr>
      <vt:lpstr>Concept Notes</vt:lpstr>
      <vt:lpstr>Scoring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Deepanshu Garg</cp:lastModifiedBy>
  <dcterms:created xsi:type="dcterms:W3CDTF">2026-04-01T05:05:03Z</dcterms:created>
  <dcterms:modified xsi:type="dcterms:W3CDTF">2026-04-01T06:02:08Z</dcterms:modified>
</cp:coreProperties>
</file>