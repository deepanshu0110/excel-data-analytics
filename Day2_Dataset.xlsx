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epanshu\Downloads\"/>
    </mc:Choice>
  </mc:AlternateContent>
  <xr:revisionPtr revIDLastSave="0" documentId="13_ncr:1_{C536B637-3A77-47DA-9334-8A7032E00DE2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heet1" sheetId="4" r:id="rId1"/>
    <sheet name="Raw Data" sheetId="1" r:id="rId2"/>
    <sheet name="Practice Guide" sheetId="2" r:id="rId3"/>
    <sheet name="Concept — Pivot Tables" sheetId="3" r:id="rId4"/>
  </sheets>
  <calcPr calcId="191029" iterateDelta="1E-4"/>
  <pivotCaches>
    <pivotCache cacheId="4" r:id="rId5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5" i="1"/>
  <c r="I6" i="1"/>
  <c r="I7" i="1"/>
  <c r="I8" i="1"/>
  <c r="I9" i="1"/>
  <c r="I5" i="1"/>
  <c r="H6" i="1"/>
  <c r="H7" i="1"/>
  <c r="H8" i="1"/>
  <c r="H9" i="1"/>
  <c r="H5" i="1"/>
  <c r="F10" i="1"/>
  <c r="D10" i="1"/>
  <c r="C10" i="1"/>
  <c r="B10" i="1"/>
  <c r="F9" i="1"/>
  <c r="G9" i="1" s="1"/>
  <c r="F8" i="1"/>
  <c r="G8" i="1" s="1"/>
  <c r="F7" i="1"/>
  <c r="G7" i="1" s="1"/>
  <c r="F6" i="1"/>
  <c r="G6" i="1" s="1"/>
  <c r="F5" i="1"/>
  <c r="G5" i="1" s="1"/>
  <c r="G10" i="1" s="1"/>
</calcChain>
</file>

<file path=xl/sharedStrings.xml><?xml version="1.0" encoding="utf-8"?>
<sst xmlns="http://schemas.openxmlformats.org/spreadsheetml/2006/main" count="82" uniqueCount="76">
  <si>
    <t>Ludhiana Electronics Shop — Monthly Sales Data (Day 2 Dataset)</t>
  </si>
  <si>
    <t>Your task: calculate % contribution of each product to total revenue, then build a Pivot Table summary</t>
  </si>
  <si>
    <t>Product</t>
  </si>
  <si>
    <t>Jan Sales
(units)</t>
  </si>
  <si>
    <t>Feb Sales
(units)</t>
  </si>
  <si>
    <t>Mar Sales
(units)</t>
  </si>
  <si>
    <t>Price per
Unit (₹)</t>
  </si>
  <si>
    <t>Total Units
Sold</t>
  </si>
  <si>
    <t>Total
Revenue (₹)</t>
  </si>
  <si>
    <t>% of Total
Revenue</t>
  </si>
  <si>
    <t>Revenue
Rank</t>
  </si>
  <si>
    <t>Insight Tag</t>
  </si>
  <si>
    <t>Mobile Cover</t>
  </si>
  <si>
    <t>Earphones</t>
  </si>
  <si>
    <t>USB Cable</t>
  </si>
  <si>
    <t>Phone Stand</t>
  </si>
  <si>
    <t>Screen Guard</t>
  </si>
  <si>
    <t>TOTAL</t>
  </si>
  <si>
    <t>Your one-sentence business recommendation (write here after completing the analysis):</t>
  </si>
  <si>
    <t>Day 2 — Step-by-Step Practice Guide</t>
  </si>
  <si>
    <t>#</t>
  </si>
  <si>
    <t>Step</t>
  </si>
  <si>
    <t>Formula / Action</t>
  </si>
  <si>
    <t>Why this matters</t>
  </si>
  <si>
    <t>1</t>
  </si>
  <si>
    <t>In column H, Row 5:
=G5/$G$10*100
Drag down to Row 9.</t>
  </si>
  <si>
    <t>Divides each product's revenue by the TOTAL revenue (locked with $).
Multiply by 100 to get a percentage.
This tells you: out of every ₹100 the shop earns, how many come from this product?</t>
  </si>
  <si>
    <t>2</t>
  </si>
  <si>
    <t>Revenue Rank</t>
  </si>
  <si>
    <t>In column I, Row 5:
=RANK(G5,$G$5:$G$9,0)
Drag down to Row 9.</t>
  </si>
  <si>
    <t>Ranks each product from 1 (highest revenue) to 5 (lowest).
The ,0 at the end means descending order — rank 1 = best.
You already did this on Day 1. Confirm your numbers match.</t>
  </si>
  <si>
    <t>3</t>
  </si>
  <si>
    <t>Insight Tag
(IF formula)</t>
  </si>
  <si>
    <t>In column J, Row 5:
=IF(I5=1,"⭐ Top performer",IF(I5=5,"⚠ Needs review","✓ Stable"))
Drag down to Row 9.</t>
  </si>
  <si>
    <t>Your first IF formula with logic.
If rank = 1 → label it Top performer.
If rank = 5 → label it Needs review.
Everything else → Stable.
This is how analysts add automatic flags to data — clients love this.</t>
  </si>
  <si>
    <t>4</t>
  </si>
  <si>
    <t>Build a Pivot Table</t>
  </si>
  <si>
    <t>1. Select A4:G9 on Raw Data sheet
2. Insert → PivotTable → New Sheet
3. Drag 'Product' to Rows
4. Drag 'Total Revenue (₹)' to Values
5. Click on Values → Value Field Settings → % of Grand Total</t>
  </si>
  <si>
    <t>A Pivot Table summarises your data in seconds — no formulas needed.
Setting it to '% of Grand Total' shows contribution %.
This is how analysts present data to clients who don't want to see raw numbers.
It should match the % you calculated in column H.</t>
  </si>
  <si>
    <t>5</t>
  </si>
  <si>
    <t>Write Your
Recommendation</t>
  </si>
  <si>
    <t>In Raw Data sheet, cell A13:
Write one sentence using this template:
"[Product] drives [X]% of revenue despite only [Y]% of units.
Recommend [action].
[Product] contributes just [Z]% — investigate [reason]."</t>
  </si>
  <si>
    <t>This is the most important step.
Day 1 you wrote: 'Earphones are best'. Good but weak.
Day 2 you write with numbers + reason + action.
That difference is what clients pay a premium for.</t>
  </si>
  <si>
    <t>KEY INSIGHT TO FIND:  Earphones = only 17% of units sold but ~38% of revenue. USB Cable = most units but only ~20% revenue. Price per unit is the hidden driver. Find this in your analysis.</t>
  </si>
  <si>
    <t>When done: send the completed file back. I will review your % contribution numbers, your IF tags, and most importantly — how you wrote your recommendation.</t>
  </si>
  <si>
    <t>What is a Pivot Table? — Visual concept card</t>
  </si>
  <si>
    <t>RAW DATA (what you have)</t>
  </si>
  <si>
    <t>PIVOT TABLE (what client sees)</t>
  </si>
  <si>
    <t>ANALYST INSIGHT (what you say)</t>
  </si>
  <si>
    <t>Product | Jan | Feb | Mar | Price | Revenue</t>
  </si>
  <si>
    <t>Product          | Revenue  | % Share</t>
  </si>
  <si>
    <t>One product (Earphones) drives 38.7%</t>
  </si>
  <si>
    <t>Mobile Cover | 120 | 135 | 98 | 149 | ₹52,597</t>
  </si>
  <si>
    <t>Earphones        | ₹1,14,513 | 38.7%</t>
  </si>
  <si>
    <t>of all revenue — from just 17% of units.</t>
  </si>
  <si>
    <t>Earphones | 85 | 92 | 110 | 399 | ₹1,14,513</t>
  </si>
  <si>
    <t>USB Cable        | ₹59,103  | 20.0%</t>
  </si>
  <si>
    <t>USB Cable | 200 | 187 | 210 | 99 | ₹59,103</t>
  </si>
  <si>
    <t>Mobile Cover     | ₹52,597  | 17.8%</t>
  </si>
  <si>
    <t>This is a concentration risk.</t>
  </si>
  <si>
    <t>Phone Stand | 45 | 38 | 52 | 249 | ₹33,615</t>
  </si>
  <si>
    <t>Screen Guard     | ₹35,945  | 12.2%</t>
  </si>
  <si>
    <t>If Earphones stock runs out, the shop</t>
  </si>
  <si>
    <t>Screen Guard | 160 | 155 | 140 | 79 | ₹35,945</t>
  </si>
  <si>
    <t>Phone Stand      | ₹33,615  | 11.4%</t>
  </si>
  <si>
    <t>loses nearly 40% of revenue immediately.</t>
  </si>
  <si>
    <t>TOTAL — | — | — | — | — | ₹2,95,773</t>
  </si>
  <si>
    <t>Grand Total      | ₹2,95,773 | 100%</t>
  </si>
  <si>
    <t>Recommendation: ensure 2-month</t>
  </si>
  <si>
    <t>Earphones buffer stock at all times.</t>
  </si>
  <si>
    <t>A Pivot Table does NOT change your data — it just summarises it differently. Same numbers, different view. The power is in combining it with % of Grand Total to instantly see which products/categories/regions matter most.</t>
  </si>
  <si>
    <t>Row Labels</t>
  </si>
  <si>
    <t>Grand Total</t>
  </si>
  <si>
    <t>Sum of Total</t>
  </si>
  <si>
    <t>Sum of Total Units</t>
  </si>
  <si>
    <t>Earphone contribute nearly 40% of your revenue despite being only nearly 16% of units sold. If you are out of stock of earphones you will have loss of 40% so it is better to stock the earphones.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</si>
</sst>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2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10"/>
      <color rgb="FF1F3864"/>
      <name val="Arial"/>
      <charset val="1"/>
    </font>
    <font>
      <b/>
      <sz val="11"/>
      <color rgb="FFFFFFFF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b/>
      <sz val="11"/>
      <color rgb="FF2E5EAA"/>
      <name val="Arial"/>
      <charset val="1"/>
    </font>
    <font>
      <i/>
      <sz val="11"/>
      <color rgb="FF7F6000"/>
      <name val="Arial"/>
      <charset val="1"/>
    </font>
    <font>
      <i/>
      <sz val="10"/>
      <color rgb="FF7F6000"/>
      <name val="Arial"/>
      <charset val="1"/>
    </font>
    <font>
      <b/>
      <sz val="10"/>
      <color rgb="FF1F3864"/>
      <name val="Arial"/>
      <charset val="1"/>
    </font>
    <font>
      <b/>
      <sz val="14"/>
      <color rgb="FFFFFFFF"/>
      <name val="Arial"/>
      <charset val="1"/>
    </font>
    <font>
      <b/>
      <sz val="16"/>
      <color rgb="FFFFFFFF"/>
      <name val="Arial"/>
      <charset val="1"/>
    </font>
    <font>
      <sz val="10"/>
      <color rgb="FF444444"/>
      <name val="Arial"/>
      <charset val="1"/>
    </font>
    <font>
      <i/>
      <sz val="10"/>
      <color rgb="FF555555"/>
      <name val="Arial"/>
      <charset val="1"/>
    </font>
    <font>
      <b/>
      <sz val="11"/>
      <color rgb="FF1F3864"/>
      <name val="Arial"/>
      <charset val="1"/>
    </font>
    <font>
      <b/>
      <sz val="11"/>
      <color rgb="FF375623"/>
      <name val="Arial"/>
      <charset val="1"/>
    </font>
    <font>
      <b/>
      <sz val="11"/>
      <color rgb="FF833C0B"/>
      <name val="Arial"/>
      <charset val="1"/>
    </font>
    <font>
      <sz val="10"/>
      <color rgb="FF333333"/>
      <name val="Arial"/>
      <charset val="1"/>
    </font>
    <font>
      <sz val="10"/>
      <color rgb="FF1A3A1A"/>
      <name val="Arial"/>
      <charset val="1"/>
    </font>
    <font>
      <sz val="10"/>
      <color rgb="FF5A200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8F5"/>
        <bgColor rgb="FFE2EFDA"/>
      </patternFill>
    </fill>
    <fill>
      <patternFill patternType="solid">
        <fgColor rgb="FF2E5EAA"/>
        <bgColor rgb="FF2E75B6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2E5EAA"/>
      </patternFill>
    </fill>
    <fill>
      <patternFill patternType="solid">
        <fgColor rgb="FF375623"/>
        <bgColor rgb="FF444444"/>
      </patternFill>
    </fill>
    <fill>
      <patternFill patternType="solid">
        <fgColor rgb="FFE2EFDA"/>
        <bgColor rgb="FFD9E8F5"/>
      </patternFill>
    </fill>
    <fill>
      <patternFill patternType="solid">
        <fgColor rgb="FFFCE4D6"/>
        <bgColor rgb="FFFFF2CC"/>
      </patternFill>
    </fill>
  </fills>
  <borders count="12">
    <border>
      <left/>
      <right/>
      <top/>
      <bottom/>
      <diagonal/>
    </border>
    <border>
      <left style="medium">
        <color rgb="FF1F3864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medium">
        <color rgb="FF1F3864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thin">
        <color rgb="FFBFBFBF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1" fillId="2" borderId="11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3" fillId="9" borderId="4" xfId="0" applyFont="1" applyFill="1" applyBorder="1" applyAlignment="1">
      <alignment horizontal="left" vertical="center" wrapText="1"/>
    </xf>
    <xf numFmtId="0" fontId="11" fillId="9" borderId="8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 wrapText="1"/>
    </xf>
    <xf numFmtId="0" fontId="11" fillId="4" borderId="8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0" fillId="6" borderId="0" xfId="0" applyFill="1" applyAlignment="1">
      <alignment horizontal="left" vertical="center" wrapText="1"/>
    </xf>
    <xf numFmtId="0" fontId="9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/>
    </xf>
    <xf numFmtId="3" fontId="5" fillId="5" borderId="4" xfId="0" applyNumberFormat="1" applyFont="1" applyFill="1" applyBorder="1" applyAlignment="1">
      <alignment horizontal="center" vertical="center"/>
    </xf>
    <xf numFmtId="164" fontId="5" fillId="5" borderId="4" xfId="0" applyNumberFormat="1" applyFont="1" applyFill="1" applyBorder="1" applyAlignment="1">
      <alignment horizontal="center" vertical="center"/>
    </xf>
    <xf numFmtId="164" fontId="6" fillId="5" borderId="4" xfId="0" applyNumberFormat="1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4" fillId="7" borderId="4" xfId="0" applyFont="1" applyFill="1" applyBorder="1" applyAlignment="1">
      <alignment horizontal="left" vertical="center"/>
    </xf>
    <xf numFmtId="3" fontId="5" fillId="7" borderId="4" xfId="0" applyNumberFormat="1" applyFont="1" applyFill="1" applyBorder="1" applyAlignment="1">
      <alignment horizontal="center" vertical="center"/>
    </xf>
    <xf numFmtId="164" fontId="5" fillId="7" borderId="4" xfId="0" applyNumberFormat="1" applyFont="1" applyFill="1" applyBorder="1" applyAlignment="1">
      <alignment horizontal="center" vertical="center"/>
    </xf>
    <xf numFmtId="164" fontId="6" fillId="7" borderId="4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top" wrapText="1"/>
    </xf>
    <xf numFmtId="0" fontId="0" fillId="0" borderId="9" xfId="0" applyBorder="1"/>
    <xf numFmtId="0" fontId="12" fillId="7" borderId="4" xfId="0" applyFont="1" applyFill="1" applyBorder="1" applyAlignment="1">
      <alignment horizontal="left" vertical="top" wrapText="1"/>
    </xf>
    <xf numFmtId="0" fontId="0" fillId="0" borderId="8" xfId="0" applyBorder="1"/>
    <xf numFmtId="0" fontId="0" fillId="0" borderId="4" xfId="0" applyBorder="1"/>
    <xf numFmtId="0" fontId="9" fillId="10" borderId="4" xfId="0" applyFont="1" applyFill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4" fillId="5" borderId="4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6" fillId="11" borderId="4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left" vertical="center" wrapText="1"/>
    </xf>
    <xf numFmtId="0" fontId="18" fillId="10" borderId="4" xfId="0" applyFont="1" applyFill="1" applyBorder="1" applyAlignment="1">
      <alignment horizontal="left" vertical="center" wrapText="1"/>
    </xf>
    <xf numFmtId="0" fontId="19" fillId="11" borderId="4" xfId="0" applyFont="1" applyFill="1" applyBorder="1" applyAlignment="1">
      <alignment horizontal="left" vertical="center" wrapText="1"/>
    </xf>
    <xf numFmtId="0" fontId="19" fillId="11" borderId="7" xfId="0" applyFont="1" applyFill="1" applyBorder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A2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9E8F5"/>
      <rgbColor rgb="FF660066"/>
      <rgbColor rgb="FFFF8080"/>
      <rgbColor rgb="FF2E5EA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375623"/>
      <rgbColor rgb="FF1A3A1A"/>
      <rgbColor rgb="FF833C0B"/>
      <rgbColor rgb="FF993366"/>
      <rgbColor rgb="FF44444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anshu" refreshedDate="46109.911772916668" createdVersion="8" refreshedVersion="8" minRefreshableVersion="3" recordCount="5" xr:uid="{85A7F142-E94B-44F9-B7B8-68EA31F3B807}">
  <cacheSource type="worksheet">
    <worksheetSource ref="A4:G9" sheet="Raw Data"/>
  </cacheSource>
  <cacheFields count="7">
    <cacheField name="Product" numFmtId="0">
      <sharedItems count="5">
        <s v="Mobile Cover"/>
        <s v="Earphones"/>
        <s v="USB Cable"/>
        <s v="Phone Stand"/>
        <s v="Screen Guard"/>
      </sharedItems>
    </cacheField>
    <cacheField name="Jan Sales_x000a_(units)" numFmtId="3">
      <sharedItems containsSemiMixedTypes="0" containsString="0" containsNumber="1" containsInteger="1" minValue="45" maxValue="200"/>
    </cacheField>
    <cacheField name="Feb Sales_x000a_(units)" numFmtId="3">
      <sharedItems containsSemiMixedTypes="0" containsString="0" containsNumber="1" containsInteger="1" minValue="38" maxValue="187"/>
    </cacheField>
    <cacheField name="Mar Sales_x000a_(units)" numFmtId="3">
      <sharedItems containsSemiMixedTypes="0" containsString="0" containsNumber="1" containsInteger="1" minValue="52" maxValue="210"/>
    </cacheField>
    <cacheField name="Price per_x000a_Unit (₹)" numFmtId="164">
      <sharedItems containsSemiMixedTypes="0" containsString="0" containsNumber="1" containsInteger="1" minValue="79" maxValue="399"/>
    </cacheField>
    <cacheField name="Total Units_x000a_Sold" numFmtId="3">
      <sharedItems containsSemiMixedTypes="0" containsString="0" containsNumber="1" containsInteger="1" minValue="135" maxValue="597"/>
    </cacheField>
    <cacheField name="Total_x000a_Revenue (₹)" numFmtId="164">
      <sharedItems containsSemiMixedTypes="0" containsString="0" containsNumber="1" containsInteger="1" minValue="33615" maxValue="114513" count="5">
        <n v="52597"/>
        <n v="114513"/>
        <n v="59103"/>
        <n v="33615"/>
        <n v="3594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20"/>
    <n v="135"/>
    <n v="98"/>
    <n v="149"/>
    <n v="353"/>
    <x v="0"/>
  </r>
  <r>
    <x v="1"/>
    <n v="85"/>
    <n v="92"/>
    <n v="110"/>
    <n v="399"/>
    <n v="287"/>
    <x v="1"/>
  </r>
  <r>
    <x v="2"/>
    <n v="200"/>
    <n v="187"/>
    <n v="210"/>
    <n v="99"/>
    <n v="597"/>
    <x v="2"/>
  </r>
  <r>
    <x v="3"/>
    <n v="45"/>
    <n v="38"/>
    <n v="52"/>
    <n v="249"/>
    <n v="135"/>
    <x v="3"/>
  </r>
  <r>
    <x v="4"/>
    <n v="160"/>
    <n v="155"/>
    <n v="140"/>
    <n v="79"/>
    <n v="455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F9721-6FD4-4541-95B0-5F8D0F33933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7">
    <pivotField axis="axisRow" showAll="0">
      <items count="6">
        <item x="1"/>
        <item x="0"/>
        <item x="3"/>
        <item x="4"/>
        <item x="2"/>
        <item t="default"/>
      </items>
    </pivotField>
    <pivotField numFmtId="3" showAll="0"/>
    <pivotField numFmtId="3" showAll="0"/>
    <pivotField numFmtId="3" showAll="0"/>
    <pivotField numFmtId="164" showAll="0"/>
    <pivotField dataField="1" numFmtId="3" showAll="0"/>
    <pivotField dataField="1" numFmtId="164" showAll="0">
      <items count="6">
        <item x="3"/>
        <item x="4"/>
        <item x="0"/>
        <item x="2"/>
        <item x="1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6" showDataAs="percentOfTotal" baseField="0" baseItem="0" numFmtId="10"/>
    <dataField name="Sum of Total Units" fld="5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66AA-5354-4E8D-9147-FAFC64033FEC}">
  <dimension ref="A3:C9"/>
  <sheetViews>
    <sheetView workbookViewId="0">
      <selection activeCell="C12" sqref="C12"/>
    </sheetView>
  </sheetViews>
  <sheetFormatPr defaultRowHeight="14.4" x14ac:dyDescent="0.3"/>
  <cols>
    <col min="1" max="1" width="12.5546875" bestFit="1" customWidth="1"/>
    <col min="2" max="2" width="13.77734375" customWidth="1"/>
    <col min="3" max="3" width="16.5546875" bestFit="1" customWidth="1"/>
  </cols>
  <sheetData>
    <row r="3" spans="1:3" x14ac:dyDescent="0.3">
      <c r="A3" s="51" t="s">
        <v>71</v>
      </c>
      <c r="B3" t="s">
        <v>73</v>
      </c>
      <c r="C3" t="s">
        <v>74</v>
      </c>
    </row>
    <row r="4" spans="1:3" x14ac:dyDescent="0.3">
      <c r="A4" s="52" t="s">
        <v>13</v>
      </c>
      <c r="B4" s="53">
        <v>0.38716515706301791</v>
      </c>
      <c r="C4" s="53">
        <v>0.15708812260536398</v>
      </c>
    </row>
    <row r="5" spans="1:3" x14ac:dyDescent="0.3">
      <c r="A5" s="52" t="s">
        <v>12</v>
      </c>
      <c r="B5" s="53">
        <v>0.17782894314220704</v>
      </c>
      <c r="C5" s="53">
        <v>0.19321291735084839</v>
      </c>
    </row>
    <row r="6" spans="1:3" x14ac:dyDescent="0.3">
      <c r="A6" s="52" t="s">
        <v>15</v>
      </c>
      <c r="B6" s="53">
        <v>0.11365134748607886</v>
      </c>
      <c r="C6" s="53">
        <v>7.3891625615763554E-2</v>
      </c>
    </row>
    <row r="7" spans="1:3" x14ac:dyDescent="0.3">
      <c r="A7" s="52" t="s">
        <v>16</v>
      </c>
      <c r="B7" s="53">
        <v>0.12152901042353427</v>
      </c>
      <c r="C7" s="53">
        <v>0.24904214559386972</v>
      </c>
    </row>
    <row r="8" spans="1:3" x14ac:dyDescent="0.3">
      <c r="A8" s="52" t="s">
        <v>14</v>
      </c>
      <c r="B8" s="53">
        <v>0.19982554188516194</v>
      </c>
      <c r="C8" s="53">
        <v>0.32676518883415434</v>
      </c>
    </row>
    <row r="9" spans="1:3" x14ac:dyDescent="0.3">
      <c r="A9" s="52" t="s">
        <v>72</v>
      </c>
      <c r="B9" s="53">
        <v>1</v>
      </c>
      <c r="C9" s="53">
        <v>1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showGridLines="0" tabSelected="1" zoomScaleNormal="100" workbookViewId="0">
      <pane ySplit="5" topLeftCell="A6" activePane="bottomLeft" state="frozen"/>
      <selection pane="bottomLeft" activeCell="G18" sqref="G18"/>
    </sheetView>
  </sheetViews>
  <sheetFormatPr defaultColWidth="8.6640625" defaultRowHeight="14.4" x14ac:dyDescent="0.3"/>
  <cols>
    <col min="1" max="1" width="20" customWidth="1"/>
    <col min="2" max="4" width="13" customWidth="1"/>
    <col min="5" max="5" width="14" customWidth="1"/>
    <col min="6" max="6" width="13" customWidth="1"/>
    <col min="7" max="8" width="16" customWidth="1"/>
    <col min="9" max="9" width="12" customWidth="1"/>
    <col min="10" max="10" width="22" customWidth="1"/>
  </cols>
  <sheetData>
    <row r="1" spans="1:10" ht="27.7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8" customHeigh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6" customHeight="1" x14ac:dyDescent="0.3"/>
    <row r="4" spans="1:10" ht="36" customHeight="1" x14ac:dyDescent="0.3">
      <c r="A4" s="14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6" t="s">
        <v>11</v>
      </c>
    </row>
    <row r="5" spans="1:10" ht="21.75" customHeight="1" x14ac:dyDescent="0.3">
      <c r="A5" s="17" t="s">
        <v>12</v>
      </c>
      <c r="B5" s="18">
        <v>120</v>
      </c>
      <c r="C5" s="18">
        <v>135</v>
      </c>
      <c r="D5" s="18">
        <v>98</v>
      </c>
      <c r="E5" s="19">
        <v>149</v>
      </c>
      <c r="F5" s="18">
        <f>B5+C5+D5</f>
        <v>353</v>
      </c>
      <c r="G5" s="20">
        <f>F5*E5</f>
        <v>52597</v>
      </c>
      <c r="H5" s="21">
        <f>G5/$G$10*100</f>
        <v>17.782894314220705</v>
      </c>
      <c r="I5" s="21">
        <f>RANK(G5,$G$5:$G$9,0)</f>
        <v>3</v>
      </c>
      <c r="J5" s="22" t="str">
        <f>IF(I5=1,"Top Performer",IF(I5=5,"Need Review","Stable"))</f>
        <v>Stable</v>
      </c>
    </row>
    <row r="6" spans="1:10" ht="21.75" customHeight="1" x14ac:dyDescent="0.3">
      <c r="A6" s="23" t="s">
        <v>13</v>
      </c>
      <c r="B6" s="24">
        <v>85</v>
      </c>
      <c r="C6" s="24">
        <v>92</v>
      </c>
      <c r="D6" s="24">
        <v>110</v>
      </c>
      <c r="E6" s="25">
        <v>399</v>
      </c>
      <c r="F6" s="24">
        <f>B6+C6+D6</f>
        <v>287</v>
      </c>
      <c r="G6" s="26">
        <f>F6*E6</f>
        <v>114513</v>
      </c>
      <c r="H6" s="21">
        <f t="shared" ref="H6:H9" si="0">G6/$G$10*100</f>
        <v>38.716515706301792</v>
      </c>
      <c r="I6" s="21">
        <f t="shared" ref="I6:I9" si="1">RANK(G6,$G$5:$G$9,0)</f>
        <v>1</v>
      </c>
      <c r="J6" s="22" t="str">
        <f t="shared" ref="J6:J9" si="2">IF(I6=1,"Top Performer",IF(I6=5,"Need Review","Stable"))</f>
        <v>Top Performer</v>
      </c>
    </row>
    <row r="7" spans="1:10" ht="21.75" customHeight="1" x14ac:dyDescent="0.3">
      <c r="A7" s="17" t="s">
        <v>14</v>
      </c>
      <c r="B7" s="18">
        <v>200</v>
      </c>
      <c r="C7" s="18">
        <v>187</v>
      </c>
      <c r="D7" s="18">
        <v>210</v>
      </c>
      <c r="E7" s="19">
        <v>99</v>
      </c>
      <c r="F7" s="18">
        <f>B7+C7+D7</f>
        <v>597</v>
      </c>
      <c r="G7" s="20">
        <f>F7*E7</f>
        <v>59103</v>
      </c>
      <c r="H7" s="21">
        <f t="shared" si="0"/>
        <v>19.982554188516193</v>
      </c>
      <c r="I7" s="21">
        <f t="shared" si="1"/>
        <v>2</v>
      </c>
      <c r="J7" s="22" t="str">
        <f t="shared" si="2"/>
        <v>Stable</v>
      </c>
    </row>
    <row r="8" spans="1:10" ht="21.75" customHeight="1" x14ac:dyDescent="0.3">
      <c r="A8" s="23" t="s">
        <v>15</v>
      </c>
      <c r="B8" s="24">
        <v>45</v>
      </c>
      <c r="C8" s="24">
        <v>38</v>
      </c>
      <c r="D8" s="24">
        <v>52</v>
      </c>
      <c r="E8" s="25">
        <v>249</v>
      </c>
      <c r="F8" s="24">
        <f>B8+C8+D8</f>
        <v>135</v>
      </c>
      <c r="G8" s="26">
        <f>F8*E8</f>
        <v>33615</v>
      </c>
      <c r="H8" s="21">
        <f t="shared" si="0"/>
        <v>11.365134748607886</v>
      </c>
      <c r="I8" s="21">
        <f t="shared" si="1"/>
        <v>5</v>
      </c>
      <c r="J8" s="22" t="str">
        <f t="shared" si="2"/>
        <v>Need Review</v>
      </c>
    </row>
    <row r="9" spans="1:10" ht="21.75" customHeight="1" x14ac:dyDescent="0.3">
      <c r="A9" s="17" t="s">
        <v>16</v>
      </c>
      <c r="B9" s="18">
        <v>160</v>
      </c>
      <c r="C9" s="18">
        <v>155</v>
      </c>
      <c r="D9" s="18">
        <v>140</v>
      </c>
      <c r="E9" s="19">
        <v>79</v>
      </c>
      <c r="F9" s="18">
        <f>B9+C9+D9</f>
        <v>455</v>
      </c>
      <c r="G9" s="20">
        <f>F9*E9</f>
        <v>35945</v>
      </c>
      <c r="H9" s="21">
        <f t="shared" si="0"/>
        <v>12.152901042353427</v>
      </c>
      <c r="I9" s="21">
        <f t="shared" si="1"/>
        <v>4</v>
      </c>
      <c r="J9" s="22" t="str">
        <f t="shared" si="2"/>
        <v>Stable</v>
      </c>
    </row>
    <row r="10" spans="1:10" ht="24" customHeight="1" thickBot="1" x14ac:dyDescent="0.35">
      <c r="A10" s="27" t="s">
        <v>17</v>
      </c>
      <c r="B10" s="28">
        <f>SUM(B5:B9)</f>
        <v>610</v>
      </c>
      <c r="C10" s="28">
        <f>SUM(C5:C9)</f>
        <v>607</v>
      </c>
      <c r="D10" s="28">
        <f>SUM(D5:D9)</f>
        <v>610</v>
      </c>
      <c r="E10" s="29"/>
      <c r="F10" s="28">
        <f>SUM(F5:F9)</f>
        <v>1827</v>
      </c>
      <c r="G10" s="30">
        <f>SUM(G5:G9)</f>
        <v>295773</v>
      </c>
      <c r="H10" s="29"/>
      <c r="I10" s="29"/>
      <c r="J10" s="31"/>
    </row>
    <row r="12" spans="1:10" ht="19.5" customHeight="1" x14ac:dyDescent="0.3">
      <c r="A12" s="11" t="s">
        <v>18</v>
      </c>
      <c r="B12" s="11"/>
      <c r="C12" s="11"/>
      <c r="D12" s="11"/>
      <c r="E12" s="11"/>
      <c r="F12" s="11"/>
      <c r="G12" s="11"/>
      <c r="H12" s="11"/>
      <c r="I12" s="11"/>
      <c r="J12" s="11"/>
    </row>
    <row r="13" spans="1:10" ht="30" customHeight="1" x14ac:dyDescent="0.3">
      <c r="A13" s="10" t="s">
        <v>75</v>
      </c>
      <c r="B13" s="10"/>
      <c r="C13" s="10"/>
      <c r="D13" s="10"/>
      <c r="E13" s="10"/>
      <c r="F13" s="10"/>
      <c r="G13" s="10"/>
      <c r="H13" s="10"/>
      <c r="I13" s="10"/>
      <c r="J13" s="10"/>
    </row>
  </sheetData>
  <mergeCells count="4">
    <mergeCell ref="A1:J1"/>
    <mergeCell ref="A2:J2"/>
    <mergeCell ref="A12:J12"/>
    <mergeCell ref="A13:J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topLeftCell="A16" zoomScaleNormal="100" workbookViewId="0">
      <selection activeCell="D15" sqref="D15"/>
    </sheetView>
  </sheetViews>
  <sheetFormatPr defaultColWidth="8.6640625" defaultRowHeight="14.4" x14ac:dyDescent="0.3"/>
  <cols>
    <col min="1" max="1" width="6" customWidth="1"/>
    <col min="2" max="2" width="28" customWidth="1"/>
    <col min="3" max="3" width="38" customWidth="1"/>
    <col min="4" max="4" width="36" customWidth="1"/>
  </cols>
  <sheetData>
    <row r="1" spans="1:4" ht="31.5" customHeight="1" x14ac:dyDescent="0.3">
      <c r="A1" s="9" t="s">
        <v>19</v>
      </c>
      <c r="B1" s="9"/>
      <c r="C1" s="9"/>
      <c r="D1" s="9"/>
    </row>
    <row r="2" spans="1:4" ht="21.75" customHeight="1" x14ac:dyDescent="0.3">
      <c r="A2" s="32" t="s">
        <v>20</v>
      </c>
      <c r="B2" s="33" t="s">
        <v>21</v>
      </c>
      <c r="C2" s="33" t="s">
        <v>22</v>
      </c>
      <c r="D2" s="34" t="s">
        <v>23</v>
      </c>
    </row>
    <row r="3" spans="1:4" ht="48.6" customHeight="1" x14ac:dyDescent="0.3">
      <c r="A3" s="8" t="s">
        <v>24</v>
      </c>
      <c r="B3" s="7" t="s">
        <v>9</v>
      </c>
      <c r="C3" s="35" t="s">
        <v>25</v>
      </c>
      <c r="D3" s="36"/>
    </row>
    <row r="4" spans="1:4" ht="80.400000000000006" customHeight="1" x14ac:dyDescent="0.3">
      <c r="A4" s="8"/>
      <c r="B4" s="7"/>
      <c r="C4" s="37" t="s">
        <v>26</v>
      </c>
      <c r="D4" s="36"/>
    </row>
    <row r="5" spans="1:4" ht="7.5" customHeight="1" x14ac:dyDescent="0.3">
      <c r="A5" s="38"/>
      <c r="B5" s="39"/>
      <c r="C5" s="39"/>
      <c r="D5" s="36"/>
    </row>
    <row r="6" spans="1:4" ht="58.8" customHeight="1" x14ac:dyDescent="0.3">
      <c r="A6" s="8" t="s">
        <v>27</v>
      </c>
      <c r="B6" s="7" t="s">
        <v>28</v>
      </c>
      <c r="C6" s="35" t="s">
        <v>29</v>
      </c>
      <c r="D6" s="36"/>
    </row>
    <row r="7" spans="1:4" ht="87" customHeight="1" x14ac:dyDescent="0.3">
      <c r="A7" s="8"/>
      <c r="B7" s="7"/>
      <c r="C7" s="37" t="s">
        <v>30</v>
      </c>
      <c r="D7" s="36"/>
    </row>
    <row r="8" spans="1:4" ht="7.5" customHeight="1" x14ac:dyDescent="0.3">
      <c r="A8" s="38"/>
      <c r="B8" s="39"/>
      <c r="C8" s="39"/>
      <c r="D8" s="36"/>
    </row>
    <row r="9" spans="1:4" ht="60.6" customHeight="1" x14ac:dyDescent="0.3">
      <c r="A9" s="8" t="s">
        <v>31</v>
      </c>
      <c r="B9" s="7" t="s">
        <v>32</v>
      </c>
      <c r="C9" s="35" t="s">
        <v>33</v>
      </c>
      <c r="D9" s="36"/>
    </row>
    <row r="10" spans="1:4" ht="89.4" customHeight="1" x14ac:dyDescent="0.3">
      <c r="A10" s="8"/>
      <c r="B10" s="7"/>
      <c r="C10" s="37" t="s">
        <v>34</v>
      </c>
      <c r="D10" s="36"/>
    </row>
    <row r="11" spans="1:4" ht="7.5" customHeight="1" x14ac:dyDescent="0.3">
      <c r="A11" s="38"/>
      <c r="B11" s="39"/>
      <c r="C11" s="39"/>
      <c r="D11" s="36"/>
    </row>
    <row r="12" spans="1:4" ht="93.6" customHeight="1" x14ac:dyDescent="0.3">
      <c r="A12" s="6" t="s">
        <v>35</v>
      </c>
      <c r="B12" s="5" t="s">
        <v>36</v>
      </c>
      <c r="C12" s="40" t="s">
        <v>37</v>
      </c>
      <c r="D12" s="36"/>
    </row>
    <row r="13" spans="1:4" ht="111.6" customHeight="1" x14ac:dyDescent="0.3">
      <c r="A13" s="6"/>
      <c r="B13" s="5"/>
      <c r="C13" s="37" t="s">
        <v>38</v>
      </c>
      <c r="D13" s="36"/>
    </row>
    <row r="14" spans="1:4" ht="7.5" customHeight="1" x14ac:dyDescent="0.3">
      <c r="A14" s="38"/>
      <c r="B14" s="39"/>
      <c r="C14" s="39"/>
      <c r="D14" s="36"/>
    </row>
    <row r="15" spans="1:4" ht="112.8" customHeight="1" x14ac:dyDescent="0.3">
      <c r="A15" s="6" t="s">
        <v>39</v>
      </c>
      <c r="B15" s="5" t="s">
        <v>40</v>
      </c>
      <c r="C15" s="40" t="s">
        <v>41</v>
      </c>
      <c r="D15" s="36"/>
    </row>
    <row r="16" spans="1:4" ht="112.8" customHeight="1" x14ac:dyDescent="0.3">
      <c r="A16" s="6"/>
      <c r="B16" s="5"/>
      <c r="C16" s="37" t="s">
        <v>42</v>
      </c>
      <c r="D16" s="36"/>
    </row>
    <row r="17" spans="1:4" x14ac:dyDescent="0.3">
      <c r="A17" s="38"/>
      <c r="B17" s="39"/>
      <c r="C17" s="39"/>
      <c r="D17" s="36"/>
    </row>
    <row r="18" spans="1:4" x14ac:dyDescent="0.3">
      <c r="A18" s="38"/>
      <c r="B18" s="39"/>
      <c r="C18" s="39"/>
      <c r="D18" s="36"/>
    </row>
    <row r="19" spans="1:4" ht="39.75" customHeight="1" x14ac:dyDescent="0.3">
      <c r="A19" s="4" t="s">
        <v>43</v>
      </c>
      <c r="B19" s="4"/>
      <c r="C19" s="4"/>
      <c r="D19" s="4"/>
    </row>
    <row r="20" spans="1:4" x14ac:dyDescent="0.3">
      <c r="A20" s="41"/>
      <c r="B20" s="42"/>
      <c r="C20" s="42"/>
      <c r="D20" s="43"/>
    </row>
    <row r="21" spans="1:4" ht="27.75" customHeight="1" x14ac:dyDescent="0.3">
      <c r="A21" s="3" t="s">
        <v>44</v>
      </c>
      <c r="B21" s="3"/>
      <c r="C21" s="3"/>
      <c r="D21" s="3"/>
    </row>
  </sheetData>
  <mergeCells count="13">
    <mergeCell ref="A19:D19"/>
    <mergeCell ref="A21:D21"/>
    <mergeCell ref="A9:A10"/>
    <mergeCell ref="B9:B10"/>
    <mergeCell ref="A12:A13"/>
    <mergeCell ref="B12:B13"/>
    <mergeCell ref="A15:A16"/>
    <mergeCell ref="B15:B16"/>
    <mergeCell ref="A1:D1"/>
    <mergeCell ref="A3:A4"/>
    <mergeCell ref="B3:B4"/>
    <mergeCell ref="A6:A7"/>
    <mergeCell ref="B6:B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showGridLines="0" topLeftCell="A4" zoomScaleNormal="100" workbookViewId="0">
      <selection activeCell="D5" sqref="D5"/>
    </sheetView>
  </sheetViews>
  <sheetFormatPr defaultColWidth="8.6640625" defaultRowHeight="14.4" x14ac:dyDescent="0.3"/>
  <cols>
    <col min="1" max="1" width="3" customWidth="1"/>
    <col min="2" max="4" width="51.21875" customWidth="1"/>
  </cols>
  <sheetData>
    <row r="1" spans="1:4" ht="27.75" customHeight="1" x14ac:dyDescent="0.3">
      <c r="A1" s="2" t="s">
        <v>45</v>
      </c>
      <c r="B1" s="2"/>
      <c r="C1" s="2"/>
      <c r="D1" s="2"/>
    </row>
    <row r="2" spans="1:4" x14ac:dyDescent="0.3">
      <c r="A2" s="38"/>
      <c r="B2" s="39"/>
      <c r="C2" s="39"/>
      <c r="D2" s="36"/>
    </row>
    <row r="3" spans="1:4" ht="46.2" customHeight="1" x14ac:dyDescent="0.3">
      <c r="A3" s="38"/>
      <c r="B3" s="44" t="s">
        <v>46</v>
      </c>
      <c r="C3" s="45" t="s">
        <v>47</v>
      </c>
      <c r="D3" s="46" t="s">
        <v>48</v>
      </c>
    </row>
    <row r="4" spans="1:4" ht="46.2" customHeight="1" x14ac:dyDescent="0.3">
      <c r="A4" s="38"/>
      <c r="B4" s="47" t="s">
        <v>49</v>
      </c>
      <c r="C4" s="48" t="s">
        <v>50</v>
      </c>
      <c r="D4" s="49" t="s">
        <v>51</v>
      </c>
    </row>
    <row r="5" spans="1:4" ht="46.2" customHeight="1" x14ac:dyDescent="0.3">
      <c r="A5" s="38"/>
      <c r="B5" s="47" t="s">
        <v>52</v>
      </c>
      <c r="C5" s="48" t="s">
        <v>53</v>
      </c>
      <c r="D5" s="49" t="s">
        <v>54</v>
      </c>
    </row>
    <row r="6" spans="1:4" ht="46.2" customHeight="1" x14ac:dyDescent="0.3">
      <c r="A6" s="38"/>
      <c r="B6" s="47" t="s">
        <v>55</v>
      </c>
      <c r="C6" s="48" t="s">
        <v>56</v>
      </c>
      <c r="D6" s="49"/>
    </row>
    <row r="7" spans="1:4" ht="46.2" customHeight="1" x14ac:dyDescent="0.3">
      <c r="A7" s="38"/>
      <c r="B7" s="47" t="s">
        <v>57</v>
      </c>
      <c r="C7" s="48" t="s">
        <v>58</v>
      </c>
      <c r="D7" s="49" t="s">
        <v>59</v>
      </c>
    </row>
    <row r="8" spans="1:4" ht="46.2" customHeight="1" x14ac:dyDescent="0.3">
      <c r="A8" s="38"/>
      <c r="B8" s="47" t="s">
        <v>60</v>
      </c>
      <c r="C8" s="48" t="s">
        <v>61</v>
      </c>
      <c r="D8" s="49" t="s">
        <v>62</v>
      </c>
    </row>
    <row r="9" spans="1:4" ht="46.2" customHeight="1" x14ac:dyDescent="0.3">
      <c r="A9" s="38"/>
      <c r="B9" s="47" t="s">
        <v>63</v>
      </c>
      <c r="C9" s="48" t="s">
        <v>64</v>
      </c>
      <c r="D9" s="49" t="s">
        <v>65</v>
      </c>
    </row>
    <row r="10" spans="1:4" ht="46.2" customHeight="1" x14ac:dyDescent="0.3">
      <c r="A10" s="38"/>
      <c r="B10" s="47" t="s">
        <v>66</v>
      </c>
      <c r="C10" s="48" t="s">
        <v>67</v>
      </c>
      <c r="D10" s="49"/>
    </row>
    <row r="11" spans="1:4" ht="18" customHeight="1" x14ac:dyDescent="0.3">
      <c r="A11" s="38"/>
      <c r="B11" s="39"/>
      <c r="C11" s="39"/>
      <c r="D11" s="49" t="s">
        <v>68</v>
      </c>
    </row>
    <row r="12" spans="1:4" ht="18" customHeight="1" x14ac:dyDescent="0.3">
      <c r="A12" s="41"/>
      <c r="B12" s="42"/>
      <c r="C12" s="42"/>
      <c r="D12" s="50" t="s">
        <v>69</v>
      </c>
    </row>
    <row r="13" spans="1:4" ht="43.5" customHeight="1" x14ac:dyDescent="0.3">
      <c r="B13" s="1" t="s">
        <v>70</v>
      </c>
      <c r="C13" s="1"/>
      <c r="D13" s="1"/>
    </row>
  </sheetData>
  <mergeCells count="2">
    <mergeCell ref="A1:D1"/>
    <mergeCell ref="B13:D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Raw Data</vt:lpstr>
      <vt:lpstr>Practice Guide</vt:lpstr>
      <vt:lpstr>Concept — 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Deepanshu Garg</cp:lastModifiedBy>
  <cp:revision>0</cp:revision>
  <dcterms:created xsi:type="dcterms:W3CDTF">2026-03-28T16:12:50Z</dcterms:created>
  <dcterms:modified xsi:type="dcterms:W3CDTF">2026-03-28T16:31:16Z</dcterms:modified>
  <dc:language>en-US</dc:language>
</cp:coreProperties>
</file>