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epanshu\Downloads\"/>
    </mc:Choice>
  </mc:AlternateContent>
  <xr:revisionPtr revIDLastSave="0" documentId="13_ncr:1_{F862ACF6-6A6E-4872-BAFE-7D7C75BA7369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Data Source" sheetId="1" r:id="rId1"/>
    <sheet name="Chart Workshop" sheetId="2" r:id="rId2"/>
    <sheet name="Dashboard (Your Work)" sheetId="3" r:id="rId3"/>
    <sheet name="Concept Notes" sheetId="4" r:id="rId4"/>
    <sheet name="Scoring Guide" sheetId="5" r:id="rId5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6" i="3" l="1"/>
  <c r="E30" i="1"/>
  <c r="C30" i="1"/>
  <c r="F29" i="1"/>
  <c r="F28" i="1"/>
  <c r="F27" i="1"/>
  <c r="D27" i="1"/>
  <c r="F26" i="1"/>
  <c r="D26" i="1"/>
  <c r="F25" i="1"/>
  <c r="D25" i="1"/>
  <c r="F24" i="1"/>
  <c r="D24" i="1"/>
  <c r="F19" i="1"/>
  <c r="E19" i="1"/>
  <c r="D19" i="1"/>
  <c r="C19" i="1"/>
  <c r="G18" i="1"/>
  <c r="G17" i="1"/>
  <c r="G16" i="1"/>
  <c r="G15" i="1"/>
  <c r="G14" i="1"/>
  <c r="G13" i="1"/>
  <c r="G12" i="1"/>
  <c r="G11" i="1"/>
  <c r="G10" i="1"/>
  <c r="G9" i="1"/>
  <c r="G8" i="1"/>
  <c r="G7" i="1"/>
  <c r="G19" i="1" s="1"/>
  <c r="D29" i="1" l="1"/>
  <c r="D28" i="1"/>
  <c r="F6" i="3"/>
  <c r="B6" i="3"/>
  <c r="E6" i="3"/>
</calcChain>
</file>

<file path=xl/sharedStrings.xml><?xml version="1.0" encoding="utf-8"?>
<sst xmlns="http://schemas.openxmlformats.org/spreadsheetml/2006/main" count="215" uniqueCount="190">
  <si>
    <t>DAY 13 — WEEK 4: CHARTS &amp; DASHBOARDS  |  Data Source Sheet</t>
  </si>
  <si>
    <t>FY 2024–25 Monthly Sales by Region — Source for all charts on the Dashboard sheet</t>
  </si>
  <si>
    <t>TABLE 1 — Monthly Revenue by Region (₹)</t>
  </si>
  <si>
    <t>Month</t>
  </si>
  <si>
    <t>North</t>
  </si>
  <si>
    <t>South</t>
  </si>
  <si>
    <t>East</t>
  </si>
  <si>
    <t>West</t>
  </si>
  <si>
    <t>Total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</si>
  <si>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</si>
  <si>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</si>
  <si>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</si>
  <si>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</si>
  <si>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</si>
  <si>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</si>
  <si>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</si>
  <si>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</si>
  <si>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</si>
  <si>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</si>
  <si>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</si>
  <si>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</si>
  <si>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TOTAL</t>
  </si>
  <si>
    <t>TABLE 2 — Annual Revenue by Product Category (₹)</t>
  </si>
  <si>
    <t>Category</t>
  </si>
  <si>
    <t>Revenue</t>
  </si>
  <si>
    <t>% Share</t>
  </si>
  <si>
    <t>Units Sold</t>
  </si>
  <si>
    <t>Avg Order Value</t>
  </si>
  <si>
    <t>Electronics</t>
  </si>
  <si>
    <t>Appliances</t>
  </si>
  <si>
    <t>Footwear</t>
  </si>
  <si>
    <t>Fitness</t>
  </si>
  <si>
    <t>Nutrition</t>
  </si>
  <si>
    <t>Furniture</t>
  </si>
  <si>
    <t>DAY 13 — CHART WORKSHOP  |  4 Chart Types With Pre-Built Examples</t>
  </si>
  <si>
    <t>Each section shows a small dataset + the chart you should create from it + step-by-step instructions</t>
  </si>
  <si>
    <t>CHART 1 — Clustered Bar Chart  |  Best for: comparing categories side-by-side</t>
  </si>
  <si>
    <t>Region</t>
  </si>
  <si>
    <t>HOW TO BUILD THIS CHART</t>
  </si>
  <si>
    <t>1. Select B6:E10 (headers + 4 rows of data)</t>
  </si>
  <si>
    <t>2. Insert → Charts → Column → Clustered Column (first option)</t>
  </si>
  <si>
    <t>3. Chart Design tab → Select Data → confirm Series are Jan/Feb/Mar, Categories are Regions</t>
  </si>
  <si>
    <t>4. Add Chart Title: double-click the title area, type your title</t>
  </si>
  <si>
    <t>5. Format → No gridlines on Y-axis for a cleaner look</t>
  </si>
  <si>
    <t>BUSINESS READ: Which region had the strongest March? (Hint: West at ₹3,10,000)</t>
  </si>
  <si>
    <t>CHART 2 — Line Chart  |  Best for: showing trends over time</t>
  </si>
  <si>
    <t>Total Revenue</t>
  </si>
  <si>
    <t>Q1 FY24</t>
  </si>
  <si>
    <t>Q2 FY24</t>
  </si>
  <si>
    <t>Q3 FY24</t>
  </si>
  <si>
    <t>Q4 FY24</t>
  </si>
  <si>
    <t>Q1 FY25</t>
  </si>
  <si>
    <t>Q2 FY25</t>
  </si>
  <si>
    <t>1. Select the Quarter + Revenue columns (B and C, headers + 6 rows)</t>
  </si>
  <si>
    <t>2. Insert → Charts → Line → Line with Markers (2nd option in line group)</t>
  </si>
  <si>
    <t>3. Right-click a data point → Add Data Labels → show values on chart</t>
  </si>
  <si>
    <t>4. Format the line: right-click series → Format Data Series → Line color = dark blue, Width = 2pt</t>
  </si>
  <si>
    <t>5. Delete the legend (only one series, it's redundant)</t>
  </si>
  <si>
    <t>BUSINESS READ: Q4 FY24 was peak (₹28.9L). Q1 FY25 dipped — typical post-holiday effect.</t>
  </si>
  <si>
    <t>CHART 3 — Pie Chart  |  Best for: showing % share / composition</t>
  </si>
  <si>
    <t>Revenue Share</t>
  </si>
  <si>
    <t>1. Select Category + Revenue Share (2 columns, headers + 6 rows)</t>
  </si>
  <si>
    <t>2. Insert → Charts → Pie → 2-D Pie (first option)</t>
  </si>
  <si>
    <t>3. Right-click a slice → Add Data Labels → check 'Category Name' + 'Percentage'</t>
  </si>
  <si>
    <t>4. Right-click the largest slice (Electronics) → Format Data Point → Explode: 10% to highlight it</t>
  </si>
  <si>
    <t>5. Chart Design → Change Colors → pick a contrasting palette (Colorful Palette 3 works well)</t>
  </si>
  <si>
    <t>BUSINESS READ: Electronics alone is 42% of revenue. If this category dips, total revenue hurts badly.</t>
  </si>
  <si>
    <t>WHEN NOT TO USE PIE: Never use a pie chart with more than 6 slices — it becomes unreadable.</t>
  </si>
  <si>
    <t>FY 2024–25 SALES PERFORMANCE DASHBOARD  |  Built by: Deepanshu Garg</t>
  </si>
  <si>
    <t>Data Source: Data Source sheet  |  Period: Apr 2024 – Mar 2025  |  Updated: Apr 2025</t>
  </si>
  <si>
    <t>Best Month</t>
  </si>
  <si>
    <t>Top Region</t>
  </si>
  <si>
    <t>Top Category</t>
  </si>
  <si>
    <t>Avg Monthly Rev</t>
  </si>
  <si>
    <t>Total Categories</t>
  </si>
  <si>
    <t>CHART 1: Clustered Bar — Monthly Revenue by Region (Q1 only)</t>
  </si>
  <si>
    <t>CHART 2: Line Chart — Quarterly Revenue Trend</t>
  </si>
  <si>
    <t>CHART 3: Pie — Category Share</t>
  </si>
  <si>
    <t>← Insert your Bar Chart here</t>
  </si>
  <si>
    <t>← Insert your Line Chart here</t>
  </si>
  <si>
    <t>← Insert Pie Chart</t>
  </si>
  <si>
    <t>DASHBOARD INSIGHTS — Write 3 business observations after building your charts</t>
  </si>
  <si>
    <t>DAY 13 — CONCEPT NOTES  |  Chart Types &amp; When to Use Each</t>
  </si>
  <si>
    <t>CHART SELECTION GUIDE</t>
  </si>
  <si>
    <t>Chart Type</t>
  </si>
  <si>
    <t>Use When</t>
  </si>
  <si>
    <t>Avoid When</t>
  </si>
  <si>
    <t>Business Example</t>
  </si>
  <si>
    <t>Bar / Column</t>
  </si>
  <si>
    <t>Comparing categories (regions, products, reps)</t>
  </si>
  <si>
    <t>You have &gt;10 categories — use a table instead</t>
  </si>
  <si>
    <t>Monthly sales by region — which region is top?</t>
  </si>
  <si>
    <t>Line</t>
  </si>
  <si>
    <t>Showing change over time (trends, growth, seasonality)</t>
  </si>
  <si>
    <t>Comparing unrelated categories — use bar</t>
  </si>
  <si>
    <t>Revenue trend Q1→Q4 — are we growing?</t>
  </si>
  <si>
    <t>Pie / Donut</t>
  </si>
  <si>
    <t>Showing % composition (max 6 slices)</t>
  </si>
  <si>
    <t>Comparing values — use bar. &gt;6 slices — use bar</t>
  </si>
  <si>
    <t>Category revenue share — Electronics = 42%</t>
  </si>
  <si>
    <t>Stacked Bar</t>
  </si>
  <si>
    <t>Showing part-to-whole AND comparing totals</t>
  </si>
  <si>
    <t>When individual segment values are the focus</t>
  </si>
  <si>
    <t>Quarterly revenue split by region, stacked</t>
  </si>
  <si>
    <t>Scatter</t>
  </si>
  <si>
    <t>Showing relationship between two numeric variables</t>
  </si>
  <si>
    <t>Showing trends over time — use line</t>
  </si>
  <si>
    <t>Price vs units sold — is there a pattern?</t>
  </si>
  <si>
    <t>Combo (Bar+Line)</t>
  </si>
  <si>
    <t>Showing two metrics with different scales on same chart</t>
  </si>
  <si>
    <t>When both metrics are on same scale — confusing</t>
  </si>
  <si>
    <t>Revenue (bars) + Profit Margin % (line)</t>
  </si>
  <si>
    <t>DASHBOARD DESIGN RULES — What Separates Amateurs from Analysts</t>
  </si>
  <si>
    <t>RULE</t>
  </si>
  <si>
    <t>WHAT TO DO</t>
  </si>
  <si>
    <t>WHY IT MATTERS</t>
  </si>
  <si>
    <t>Limit chart types</t>
  </si>
  <si>
    <t>Use max 3 chart types per dashboard</t>
  </si>
  <si>
    <t>Visual consistency — mixed types confuse the eye</t>
  </si>
  <si>
    <t>Title every chart</t>
  </si>
  <si>
    <t>Each chart gets a clear descriptive title (not 'Chart 1')</t>
  </si>
  <si>
    <t>Client shouldn't have to guess what they're looking at</t>
  </si>
  <si>
    <t>Remove chart junk</t>
  </si>
  <si>
    <t>Delete gridlines, borders, 3D effects, unnecessary legends</t>
  </si>
  <si>
    <t>Less noise = faster insight</t>
  </si>
  <si>
    <t>Use consistent colours</t>
  </si>
  <si>
    <t>One colour per series/category throughout the dashboard</t>
  </si>
  <si>
    <t>Colour switching confuses the reader</t>
  </si>
  <si>
    <t>KPI cards at the top</t>
  </si>
  <si>
    <t>Put 4–6 headline numbers in cards above the charts</t>
  </si>
  <si>
    <t>Executives read top-to-bottom — lead with the answer</t>
  </si>
  <si>
    <t>Data labels on small charts</t>
  </si>
  <si>
    <t>Always show value labels on pie/donut charts</t>
  </si>
  <si>
    <t>Small slices are unreadable without labels</t>
  </si>
  <si>
    <t>Left-to-right story flow</t>
  </si>
  <si>
    <t>Put the most important chart top-left</t>
  </si>
  <si>
    <t>Natural reading order guides the eye to key insight first</t>
  </si>
  <si>
    <t>INTERVIEW TIP</t>
  </si>
  <si>
    <t>'Walk me through your dashboard design process'</t>
  </si>
  <si>
    <t>Answer: KPIs first → chart selection by question → clean formatting → insight labels</t>
  </si>
  <si>
    <t>DAY 13 SCORING GUIDE  |  Total: 50 Points</t>
  </si>
  <si>
    <t>Task</t>
  </si>
  <si>
    <t>Skill</t>
  </si>
  <si>
    <t>Success Criteria</t>
  </si>
  <si>
    <t>Pts</t>
  </si>
  <si>
    <t>Chart 1 — Bar/Column</t>
  </si>
  <si>
    <t>Chart creation</t>
  </si>
  <si>
    <t>Clustered bar/column chart built from Q1 data. Title present. X-axis = Region, series = months. Clean formatting.</t>
  </si>
  <si>
    <t>12</t>
  </si>
  <si>
    <t>Chart 2 — Line</t>
  </si>
  <si>
    <t>Line chart showing quarterly revenue trend. Markers visible. Correct data range. Title present.</t>
  </si>
  <si>
    <t>Chart 3 — Pie</t>
  </si>
  <si>
    <t>Pie chart of category revenue share. Data labels show category name + %. Max 6 slices. Title present.</t>
  </si>
  <si>
    <t>10</t>
  </si>
  <si>
    <t>Dashboard layout</t>
  </si>
  <si>
    <t>Design</t>
  </si>
  <si>
    <t>All 3 charts placed on Dashboard sheet. KPI cards at top visible with correct formula values. No chart junk (3D, heavy borders).</t>
  </si>
  <si>
    <t>8</t>
  </si>
  <si>
    <t>3 Dashboard Insights</t>
  </si>
  <si>
    <t>Communication</t>
  </si>
  <si>
    <t>3 insight statements written in the Insight box. Each uses a number (not just 'X is highest'). One includes a business recommendation.</t>
  </si>
  <si>
    <t>BONUS: Chart formatting</t>
  </si>
  <si>
    <t>Polish</t>
  </si>
  <si>
    <t>Consistent colour theme, removed gridlines from at least 2 charts, added data labels to pie chart.</t>
  </si>
  <si>
    <t>+3 Bonus</t>
  </si>
  <si>
    <t>TOTAL (excl. bonus)</t>
  </si>
  <si>
    <t>50</t>
  </si>
  <si>
    <t>GRADING BANDS</t>
  </si>
  <si>
    <t>46–50+</t>
  </si>
  <si>
    <t>Distinction</t>
  </si>
  <si>
    <t>Ready for Day 14 (Combo charts + Sparklines).</t>
  </si>
  <si>
    <t>38–45</t>
  </si>
  <si>
    <t>Pass</t>
  </si>
  <si>
    <t>Charts built correctly. Review formatting rules before Day 14.</t>
  </si>
  <si>
    <t>28–37</t>
  </si>
  <si>
    <t>Needs Work</t>
  </si>
  <si>
    <t>Redo chart creation steps from Chart Workshop. Resubmit.</t>
  </si>
  <si>
    <t>0–27</t>
  </si>
  <si>
    <t>Re-attempt</t>
  </si>
  <si>
    <t>Re-read Concept Notes + Chart Workshop, then rebuild.</t>
  </si>
  <si>
    <t>KEY TAKEAWAYS — DAY 13</t>
  </si>
  <si>
    <t>1. Chart selection is a business decision — ask 'what question am I answering?' before picking a chart type.</t>
  </si>
  <si>
    <t>2. Bar = compare categories. Line = show trends. Pie = show composition. These 3 cover 80% of analyst work.</t>
  </si>
  <si>
    <t>3. KPI cards are more powerful than charts for executives — they want the number first, the chart second.</t>
  </si>
  <si>
    <t>4. Dashboard junk (3D effects, gradient fills, heavy borders) reduces credibility. Clients notice.</t>
  </si>
  <si>
    <t>5. Every chart needs a title that answers a question, not just labels the data ('Q1 Revenue by Region' not 'Chart 1').</t>
  </si>
  <si>
    <t>INTERVIEW: 'How do you decide which chart type to use?' → Answer: I start with the business question, not the data.</t>
  </si>
  <si>
    <t>Q4 FY24 was peak(Rs28.9L). Q1 FY25 dipped exponentially after effect of holidays.</t>
  </si>
  <si>
    <t>Electronics because it contributes 42% of revenue and if it dips it will hurt revenue badly.</t>
  </si>
  <si>
    <t>West is highest performed region in March month with Rs 310000.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</si>
</sst>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₹#,##0"/>
  </numFmts>
  <fonts count="33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10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0"/>
      <color rgb="FF1F3864"/>
      <name val="Arial"/>
      <charset val="1"/>
    </font>
    <font>
      <b/>
      <sz val="11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i/>
      <sz val="9"/>
      <color rgb="FF0D5E5E"/>
      <name val="Arial"/>
      <charset val="1"/>
    </font>
    <font>
      <b/>
      <sz val="9"/>
      <color rgb="FF7F6000"/>
      <name val="Arial"/>
      <charset val="1"/>
    </font>
    <font>
      <b/>
      <sz val="14"/>
      <color rgb="FFFFFFFF"/>
      <name val="Arial"/>
      <charset val="1"/>
    </font>
    <font>
      <i/>
      <sz val="9"/>
      <color rgb="FFFFFFFF"/>
      <name val="Arial"/>
      <charset val="1"/>
    </font>
    <font>
      <sz val="8"/>
      <color rgb="FFCCDDEE"/>
      <name val="Arial"/>
      <charset val="1"/>
    </font>
    <font>
      <i/>
      <sz val="10"/>
      <color rgb="FF999999"/>
      <name val="Arial"/>
      <charset val="1"/>
    </font>
    <font>
      <i/>
      <sz val="9"/>
      <color rgb="FF999999"/>
      <name val="Arial"/>
      <charset val="1"/>
    </font>
    <font>
      <i/>
      <sz val="10"/>
      <color rgb="FF777777"/>
      <name val="Arial"/>
      <charset val="1"/>
    </font>
    <font>
      <sz val="9"/>
      <color rgb="FF1A5C2A"/>
      <name val="Arial"/>
      <charset val="1"/>
    </font>
    <font>
      <i/>
      <sz val="9"/>
      <color rgb="FFC00000"/>
      <name val="Arial"/>
      <charset val="1"/>
    </font>
    <font>
      <b/>
      <i/>
      <sz val="9"/>
      <color rgb="FF7F6000"/>
      <name val="Arial"/>
      <charset val="1"/>
    </font>
    <font>
      <b/>
      <sz val="10"/>
      <color rgb="FF2E5EAA"/>
      <name val="Arial"/>
      <charset val="1"/>
    </font>
    <font>
      <b/>
      <sz val="11"/>
      <color rgb="FF1A5C2A"/>
      <name val="Arial"/>
      <charset val="1"/>
    </font>
    <font>
      <b/>
      <sz val="10"/>
      <color rgb="FF7F6000"/>
      <name val="Arial"/>
      <charset val="1"/>
    </font>
    <font>
      <sz val="9"/>
      <color rgb="FF7F6000"/>
      <name val="Arial"/>
      <charset val="1"/>
    </font>
    <font>
      <b/>
      <sz val="11"/>
      <color rgb="FF7F6000"/>
      <name val="Arial"/>
      <charset val="1"/>
    </font>
    <font>
      <b/>
      <sz val="10"/>
      <color rgb="FF1A5C2A"/>
      <name val="Arial"/>
      <charset val="1"/>
    </font>
    <font>
      <sz val="10"/>
      <color rgb="FF1A5C2A"/>
      <name val="Arial"/>
      <charset val="1"/>
    </font>
    <font>
      <sz val="10"/>
      <color rgb="FF2E5EAA"/>
      <name val="Arial"/>
      <charset val="1"/>
    </font>
    <font>
      <b/>
      <sz val="10"/>
      <color rgb="FF843C0C"/>
      <name val="Arial"/>
      <charset val="1"/>
    </font>
    <font>
      <sz val="10"/>
      <color rgb="FF843C0C"/>
      <name val="Arial"/>
      <charset val="1"/>
    </font>
    <font>
      <b/>
      <sz val="10"/>
      <color rgb="FFC00000"/>
      <name val="Arial"/>
      <charset val="1"/>
    </font>
    <font>
      <sz val="10"/>
      <color rgb="FFC00000"/>
      <name val="Arial"/>
      <charset val="1"/>
    </font>
  </fonts>
  <fills count="21">
    <fill>
      <patternFill patternType="none"/>
    </fill>
    <fill>
      <patternFill patternType="gray125"/>
    </fill>
    <fill>
      <patternFill patternType="solid">
        <fgColor rgb="FF1F3864"/>
        <bgColor rgb="FF1F497D"/>
      </patternFill>
    </fill>
    <fill>
      <patternFill patternType="solid">
        <fgColor rgb="FF2E5EAA"/>
        <bgColor rgb="FF1F497D"/>
      </patternFill>
    </fill>
    <fill>
      <patternFill patternType="solid">
        <fgColor rgb="FFFFFFFF"/>
        <bgColor rgb="FFF9F9F9"/>
      </patternFill>
    </fill>
    <fill>
      <patternFill patternType="solid">
        <fgColor rgb="FFD9E8F5"/>
        <bgColor rgb="FFD9F0F0"/>
      </patternFill>
    </fill>
    <fill>
      <patternFill patternType="solid">
        <fgColor rgb="FFF2F2F2"/>
        <bgColor rgb="FFEBF0FA"/>
      </patternFill>
    </fill>
    <fill>
      <patternFill patternType="solid">
        <fgColor rgb="FF375623"/>
        <bgColor rgb="FF1A5C2A"/>
      </patternFill>
    </fill>
    <fill>
      <patternFill patternType="solid">
        <fgColor rgb="FF0D5E5E"/>
        <bgColor rgb="FF1A5C2A"/>
      </patternFill>
    </fill>
    <fill>
      <patternFill patternType="solid">
        <fgColor rgb="FFD9F0F0"/>
        <bgColor rgb="FFD9E8F5"/>
      </patternFill>
    </fill>
    <fill>
      <patternFill patternType="solid">
        <fgColor rgb="FF843C0C"/>
        <bgColor rgb="FF7F6000"/>
      </patternFill>
    </fill>
    <fill>
      <patternFill patternType="solid">
        <fgColor rgb="FFFFF2CC"/>
        <bgColor rgb="FFFEF3E8"/>
      </patternFill>
    </fill>
    <fill>
      <patternFill patternType="solid">
        <fgColor rgb="FF1A5C2A"/>
        <bgColor rgb="FF375623"/>
      </patternFill>
    </fill>
    <fill>
      <patternFill patternType="solid">
        <fgColor rgb="FF3D1265"/>
        <bgColor rgb="FF1F3864"/>
      </patternFill>
    </fill>
    <fill>
      <patternFill patternType="solid">
        <fgColor rgb="FF1F497D"/>
        <bgColor rgb="FF1F3864"/>
      </patternFill>
    </fill>
    <fill>
      <patternFill patternType="solid">
        <fgColor rgb="FFEBF5EB"/>
        <bgColor rgb="FFF2F2F2"/>
      </patternFill>
    </fill>
    <fill>
      <patternFill patternType="solid">
        <fgColor rgb="FFFEF3E8"/>
        <bgColor rgb="FFF2F2F2"/>
      </patternFill>
    </fill>
    <fill>
      <patternFill patternType="solid">
        <fgColor rgb="FFEBF0FA"/>
        <bgColor rgb="FFF2F2F2"/>
      </patternFill>
    </fill>
    <fill>
      <patternFill patternType="solid">
        <fgColor rgb="FFE2EFDA"/>
        <bgColor rgb="FFEBF5EB"/>
      </patternFill>
    </fill>
    <fill>
      <patternFill patternType="solid">
        <fgColor rgb="FFFCE4D6"/>
        <bgColor rgb="FFFFE0E0"/>
      </patternFill>
    </fill>
    <fill>
      <patternFill patternType="solid">
        <fgColor rgb="FFFFE0E0"/>
        <bgColor rgb="FFFCE4D6"/>
      </patternFill>
    </fill>
  </fills>
  <borders count="4">
    <border>
      <left/>
      <right/>
      <top/>
      <bottom/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8" fillId="7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1" fillId="11" borderId="2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10" fillId="4" borderId="2" xfId="0" applyFont="1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9" fillId="9" borderId="2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3" fontId="5" fillId="4" borderId="2" xfId="0" applyNumberFormat="1" applyFont="1" applyFill="1" applyBorder="1" applyAlignment="1">
      <alignment horizontal="right" vertical="center"/>
    </xf>
    <xf numFmtId="3" fontId="6" fillId="5" borderId="2" xfId="0" applyNumberFormat="1" applyFont="1" applyFill="1" applyBorder="1" applyAlignment="1">
      <alignment horizontal="right" vertical="center"/>
    </xf>
    <xf numFmtId="0" fontId="4" fillId="6" borderId="2" xfId="0" applyFont="1" applyFill="1" applyBorder="1" applyAlignment="1">
      <alignment horizontal="center" vertical="center"/>
    </xf>
    <xf numFmtId="3" fontId="5" fillId="6" borderId="2" xfId="0" applyNumberFormat="1" applyFont="1" applyFill="1" applyBorder="1" applyAlignment="1">
      <alignment horizontal="right" vertical="center"/>
    </xf>
    <xf numFmtId="3" fontId="3" fillId="2" borderId="2" xfId="0" applyNumberFormat="1" applyFont="1" applyFill="1" applyBorder="1" applyAlignment="1">
      <alignment horizontal="right" vertical="center"/>
    </xf>
    <xf numFmtId="3" fontId="7" fillId="2" borderId="2" xfId="0" applyNumberFormat="1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left" vertical="center"/>
    </xf>
    <xf numFmtId="164" fontId="5" fillId="4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164" fontId="5" fillId="6" borderId="2" xfId="0" applyNumberFormat="1" applyFont="1" applyFill="1" applyBorder="1" applyAlignment="1">
      <alignment horizontal="center" vertical="center"/>
    </xf>
    <xf numFmtId="0" fontId="0" fillId="2" borderId="2" xfId="0" applyFill="1" applyBorder="1"/>
    <xf numFmtId="0" fontId="3" fillId="3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left" vertical="center" wrapText="1"/>
    </xf>
    <xf numFmtId="9" fontId="5" fillId="4" borderId="2" xfId="0" applyNumberFormat="1" applyFont="1" applyFill="1" applyBorder="1" applyAlignment="1">
      <alignment horizontal="center" vertical="center"/>
    </xf>
    <xf numFmtId="9" fontId="5" fillId="6" borderId="2" xfId="0" applyNumberFormat="1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12" borderId="3" xfId="0" applyFont="1" applyFill="1" applyBorder="1" applyAlignment="1">
      <alignment horizontal="center" vertical="center"/>
    </xf>
    <xf numFmtId="0" fontId="14" fillId="10" borderId="3" xfId="0" applyFont="1" applyFill="1" applyBorder="1" applyAlignment="1">
      <alignment horizontal="center" vertical="center"/>
    </xf>
    <xf numFmtId="0" fontId="14" fillId="13" borderId="3" xfId="0" applyFont="1" applyFill="1" applyBorder="1" applyAlignment="1">
      <alignment horizontal="center" vertical="center"/>
    </xf>
    <xf numFmtId="0" fontId="14" fillId="8" borderId="3" xfId="0" applyFont="1" applyFill="1" applyBorder="1" applyAlignment="1">
      <alignment horizontal="center" vertical="center"/>
    </xf>
    <xf numFmtId="0" fontId="14" fillId="14" borderId="3" xfId="0" applyFont="1" applyFill="1" applyBorder="1" applyAlignment="1">
      <alignment horizontal="center" vertical="center"/>
    </xf>
    <xf numFmtId="165" fontId="12" fillId="2" borderId="3" xfId="0" applyNumberFormat="1" applyFont="1" applyFill="1" applyBorder="1" applyAlignment="1">
      <alignment horizontal="center" vertical="center"/>
    </xf>
    <xf numFmtId="49" fontId="12" fillId="12" borderId="3" xfId="0" applyNumberFormat="1" applyFont="1" applyFill="1" applyBorder="1" applyAlignment="1">
      <alignment horizontal="center" vertical="center"/>
    </xf>
    <xf numFmtId="49" fontId="12" fillId="10" borderId="3" xfId="0" applyNumberFormat="1" applyFont="1" applyFill="1" applyBorder="1" applyAlignment="1">
      <alignment horizontal="center" vertical="center"/>
    </xf>
    <xf numFmtId="49" fontId="12" fillId="13" borderId="3" xfId="0" applyNumberFormat="1" applyFont="1" applyFill="1" applyBorder="1" applyAlignment="1">
      <alignment horizontal="center" vertical="center"/>
    </xf>
    <xf numFmtId="165" fontId="12" fillId="8" borderId="3" xfId="0" applyNumberFormat="1" applyFont="1" applyFill="1" applyBorder="1" applyAlignment="1">
      <alignment horizontal="center" vertical="center"/>
    </xf>
    <xf numFmtId="3" fontId="12" fillId="14" borderId="3" xfId="0" applyNumberFormat="1" applyFont="1" applyFill="1" applyBorder="1" applyAlignment="1">
      <alignment horizontal="center" vertical="center"/>
    </xf>
    <xf numFmtId="0" fontId="0" fillId="4" borderId="3" xfId="0" applyFill="1" applyBorder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15" fillId="15" borderId="0" xfId="0" applyFont="1" applyFill="1" applyAlignment="1">
      <alignment horizontal="center" vertical="center"/>
    </xf>
    <xf numFmtId="0" fontId="15" fillId="16" borderId="0" xfId="0" applyFont="1" applyFill="1" applyAlignment="1">
      <alignment horizontal="center" vertical="center"/>
    </xf>
    <xf numFmtId="0" fontId="16" fillId="17" borderId="0" xfId="0" applyFont="1" applyFill="1" applyAlignment="1">
      <alignment horizontal="center" vertical="center"/>
    </xf>
    <xf numFmtId="0" fontId="6" fillId="4" borderId="2" xfId="0" applyFont="1" applyFill="1" applyBorder="1" applyAlignment="1">
      <alignment horizontal="left" vertical="center"/>
    </xf>
    <xf numFmtId="0" fontId="18" fillId="4" borderId="2" xfId="0" applyFont="1" applyFill="1" applyBorder="1" applyAlignment="1">
      <alignment horizontal="left" vertical="center" wrapText="1"/>
    </xf>
    <xf numFmtId="0" fontId="19" fillId="4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/>
    </xf>
    <xf numFmtId="0" fontId="18" fillId="6" borderId="2" xfId="0" applyFont="1" applyFill="1" applyBorder="1" applyAlignment="1">
      <alignment horizontal="left" vertical="center" wrapText="1"/>
    </xf>
    <xf numFmtId="0" fontId="19" fillId="6" borderId="2" xfId="0" applyFont="1" applyFill="1" applyBorder="1" applyAlignment="1">
      <alignment horizontal="left" vertical="center" wrapText="1"/>
    </xf>
    <xf numFmtId="0" fontId="9" fillId="6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0" fillId="0" borderId="2" xfId="0" applyBorder="1"/>
    <xf numFmtId="0" fontId="20" fillId="11" borderId="0" xfId="0" applyFont="1" applyFill="1" applyAlignment="1">
      <alignment horizontal="left" vertical="center" wrapText="1"/>
    </xf>
    <xf numFmtId="0" fontId="21" fillId="4" borderId="2" xfId="0" applyFont="1" applyFill="1" applyBorder="1" applyAlignment="1">
      <alignment horizontal="center" vertical="center"/>
    </xf>
    <xf numFmtId="0" fontId="22" fillId="4" borderId="2" xfId="0" applyFont="1" applyFill="1" applyBorder="1" applyAlignment="1">
      <alignment horizontal="center" vertical="center"/>
    </xf>
    <xf numFmtId="0" fontId="21" fillId="6" borderId="2" xfId="0" applyFont="1" applyFill="1" applyBorder="1" applyAlignment="1">
      <alignment horizontal="center" vertical="center"/>
    </xf>
    <xf numFmtId="0" fontId="22" fillId="6" borderId="2" xfId="0" applyFont="1" applyFill="1" applyBorder="1" applyAlignment="1">
      <alignment horizontal="center" vertical="center"/>
    </xf>
    <xf numFmtId="0" fontId="23" fillId="11" borderId="2" xfId="0" applyFont="1" applyFill="1" applyBorder="1" applyAlignment="1">
      <alignment horizontal="left" vertical="center"/>
    </xf>
    <xf numFmtId="0" fontId="21" fillId="11" borderId="2" xfId="0" applyFont="1" applyFill="1" applyBorder="1" applyAlignment="1">
      <alignment horizontal="center" vertical="center"/>
    </xf>
    <xf numFmtId="0" fontId="24" fillId="11" borderId="2" xfId="0" applyFont="1" applyFill="1" applyBorder="1" applyAlignment="1">
      <alignment horizontal="left" vertical="center" wrapText="1"/>
    </xf>
    <xf numFmtId="0" fontId="25" fillId="11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26" fillId="18" borderId="2" xfId="0" applyFont="1" applyFill="1" applyBorder="1" applyAlignment="1">
      <alignment horizontal="center" vertical="center"/>
    </xf>
    <xf numFmtId="0" fontId="27" fillId="18" borderId="2" xfId="0" applyFont="1" applyFill="1" applyBorder="1" applyAlignment="1">
      <alignment horizontal="left" vertical="center"/>
    </xf>
    <xf numFmtId="0" fontId="0" fillId="18" borderId="2" xfId="0" applyFill="1" applyBorder="1"/>
    <xf numFmtId="0" fontId="21" fillId="5" borderId="2" xfId="0" applyFont="1" applyFill="1" applyBorder="1" applyAlignment="1">
      <alignment horizontal="center" vertical="center"/>
    </xf>
    <xf numFmtId="0" fontId="28" fillId="5" borderId="2" xfId="0" applyFont="1" applyFill="1" applyBorder="1" applyAlignment="1">
      <alignment horizontal="left" vertical="center"/>
    </xf>
    <xf numFmtId="0" fontId="0" fillId="5" borderId="2" xfId="0" applyFill="1" applyBorder="1"/>
    <xf numFmtId="0" fontId="29" fillId="19" borderId="2" xfId="0" applyFont="1" applyFill="1" applyBorder="1" applyAlignment="1">
      <alignment horizontal="center" vertical="center"/>
    </xf>
    <xf numFmtId="0" fontId="30" fillId="19" borderId="2" xfId="0" applyFont="1" applyFill="1" applyBorder="1" applyAlignment="1">
      <alignment horizontal="left" vertical="center"/>
    </xf>
    <xf numFmtId="0" fontId="0" fillId="19" borderId="2" xfId="0" applyFill="1" applyBorder="1"/>
    <xf numFmtId="0" fontId="31" fillId="20" borderId="2" xfId="0" applyFont="1" applyFill="1" applyBorder="1" applyAlignment="1">
      <alignment horizontal="center" vertical="center"/>
    </xf>
    <xf numFmtId="0" fontId="32" fillId="20" borderId="2" xfId="0" applyFont="1" applyFill="1" applyBorder="1" applyAlignment="1">
      <alignment horizontal="left" vertical="center"/>
    </xf>
    <xf numFmtId="0" fontId="0" fillId="20" borderId="2" xfId="0" applyFill="1" applyBorder="1"/>
    <xf numFmtId="0" fontId="8" fillId="10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horizontal="left" vertical="center" wrapText="1"/>
    </xf>
    <xf numFmtId="0" fontId="17" fillId="4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right" vertical="center"/>
    </xf>
    <xf numFmtId="0" fontId="7" fillId="2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left" vertical="center" wrapText="1"/>
    </xf>
    <xf numFmtId="0" fontId="20" fillId="11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EBF5EB"/>
      <rgbColor rgb="FFFF00FF"/>
      <rgbColor rgb="FF00FFFF"/>
      <rgbColor rgb="FF800000"/>
      <rgbColor rgb="FF1A5C2A"/>
      <rgbColor rgb="FF000080"/>
      <rgbColor rgb="FF7F6000"/>
      <rgbColor rgb="FF800080"/>
      <rgbColor rgb="FF0D5E5E"/>
      <rgbColor rgb="FFBBBBBB"/>
      <rgbColor rgb="FF878787"/>
      <rgbColor rgb="FF777777"/>
      <rgbColor rgb="FFC0504D"/>
      <rgbColor rgb="FFFFF2CC"/>
      <rgbColor rgb="FFD9F0F0"/>
      <rgbColor rgb="FF3D1265"/>
      <rgbColor rgb="FFFF8080"/>
      <rgbColor rgb="FF2E5EAA"/>
      <rgbColor rgb="FFCCDDEE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D9E8F5"/>
      <rgbColor rgb="FFE2EFDA"/>
      <rgbColor rgb="FFFEF3E8"/>
      <rgbColor rgb="FFD9D9D9"/>
      <rgbColor rgb="FFFFE0E0"/>
      <rgbColor rgb="FFEBF0FA"/>
      <rgbColor rgb="FFFCE4D6"/>
      <rgbColor rgb="FF4A7EBB"/>
      <rgbColor rgb="FF4BACC6"/>
      <rgbColor rgb="FF9BBB59"/>
      <rgbColor rgb="FFF9F9F9"/>
      <rgbColor rgb="FFF79646"/>
      <rgbColor rgb="FFFF6600"/>
      <rgbColor rgb="FF8064A2"/>
      <rgbColor rgb="FF999999"/>
      <rgbColor rgb="FF1F3864"/>
      <rgbColor rgb="FF4F81BD"/>
      <rgbColor rgb="FF003300"/>
      <rgbColor rgb="FF333300"/>
      <rgbColor rgb="FF843C0C"/>
      <rgbColor rgb="FF993366"/>
      <rgbColor rgb="FF1F497D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Q1 FY25 — 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Workshop'!$C$6</c:f>
              <c:strCache>
                <c:ptCount val="1"/>
                <c:pt idx="0">
                  <c:v>Jan-25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Workshop'!$B$7:$B$10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'Chart Workshop'!$C$7:$C$10</c:f>
              <c:numCache>
                <c:formatCode>#,##0</c:formatCode>
                <c:ptCount val="4"/>
                <c:pt idx="0">
                  <c:v>195000</c:v>
                </c:pt>
                <c:pt idx="1">
                  <c:v>162000</c:v>
                </c:pt>
                <c:pt idx="2">
                  <c:v>138000</c:v>
                </c:pt>
                <c:pt idx="3">
                  <c:v>218000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F2-4625-BBBA-C10B9A70B22A}"/>
            </c:ext>
          </c:extLst>
        </c:ser>
        <c:ser>
          <c:idx val="1"/>
          <c:order val="1"/>
          <c:tx>
            <c:strRef>
              <c:f>'Chart Workshop'!$D$6</c:f>
              <c:strCache>
                <c:ptCount val="1"/>
                <c:pt idx="0">
                  <c:v>Feb-25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Workshop'!$B$7:$B$10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'Chart Workshop'!$D$7:$D$10</c:f>
              <c:numCache>
                <c:formatCode>#,##0</c:formatCode>
                <c:ptCount val="4"/>
                <c:pt idx="0">
                  <c:v>188000</c:v>
                </c:pt>
                <c:pt idx="1">
                  <c:v>155000</c:v>
                </c:pt>
                <c:pt idx="2">
                  <c:v>128000</c:v>
                </c:pt>
                <c:pt idx="3">
                  <c:v>205000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F2-4625-BBBA-C10B9A70B22A}"/>
            </c:ext>
          </c:extLst>
        </c:ser>
        <c:ser>
          <c:idx val="2"/>
          <c:order val="2"/>
          <c:tx>
            <c:strRef>
              <c:f>'Chart Workshop'!$E$6</c:f>
              <c:strCache>
                <c:ptCount val="1"/>
                <c:pt idx="0">
                  <c:v>Mar-25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Workshop'!$B$7:$B$10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'Chart Workshop'!$E$7:$E$10</c:f>
              <c:numCache>
                <c:formatCode>#,##0</c:formatCode>
                <c:ptCount val="4"/>
                <c:pt idx="0">
                  <c:v>275000</c:v>
                </c:pt>
                <c:pt idx="1">
                  <c:v>210000</c:v>
                </c:pt>
                <c:pt idx="2">
                  <c:v>172000</c:v>
                </c:pt>
                <c:pt idx="3">
                  <c:v>310000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F2-4625-BBBA-C10B9A70B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042341"/>
        <c:axId val="7197248"/>
      </c:barChart>
      <c:catAx>
        <c:axId val="4704234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97248"/>
        <c:crosses val="autoZero"/>
        <c:auto val="1"/>
        <c:lblAlgn val="ctr"/>
        <c:lblOffset val="100"/>
        <c:noMultiLvlLbl val="0"/>
      </c:catAx>
      <c:valAx>
        <c:axId val="71972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0423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Quarterly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Workshop'!$C$33</c:f>
              <c:strCache>
                <c:ptCount val="1"/>
                <c:pt idx="0">
                  <c:v>Total Revenue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Workshop'!$B$34:$B$39</c:f>
              <c:strCache>
                <c:ptCount val="6"/>
                <c:pt idx="0">
                  <c:v>Q1 FY24</c:v>
                </c:pt>
                <c:pt idx="1">
                  <c:v>Q2 FY24</c:v>
                </c:pt>
                <c:pt idx="2">
                  <c:v>Q3 FY24</c:v>
                </c:pt>
                <c:pt idx="3">
                  <c:v>Q4 FY24</c:v>
                </c:pt>
                <c:pt idx="4">
                  <c:v>Q1 FY25</c:v>
                </c:pt>
                <c:pt idx="5">
                  <c:v>Q2 FY25</c:v>
                </c:pt>
              </c:strCache>
            </c:strRef>
          </c:cat>
          <c:val>
            <c:numRef>
              <c:f>'Chart Workshop'!$C$34:$C$39</c:f>
              <c:numCache>
                <c:formatCode>#,##0</c:formatCode>
                <c:ptCount val="6"/>
                <c:pt idx="0">
                  <c:v>2050000</c:v>
                </c:pt>
                <c:pt idx="1">
                  <c:v>2348000</c:v>
                </c:pt>
                <c:pt idx="2">
                  <c:v>2628000</c:v>
                </c:pt>
                <c:pt idx="3">
                  <c:v>2890000</c:v>
                </c:pt>
                <c:pt idx="4">
                  <c:v>1786000</c:v>
                </c:pt>
                <c:pt idx="5">
                  <c:v>2110000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C07-45D8-A2FC-821B9BD86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4970562"/>
        <c:axId val="89013506"/>
      </c:lineChart>
      <c:catAx>
        <c:axId val="849705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Quarter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013506"/>
        <c:crosses val="autoZero"/>
        <c:auto val="1"/>
        <c:lblAlgn val="ctr"/>
        <c:lblOffset val="100"/>
        <c:noMultiLvlLbl val="0"/>
      </c:catAx>
      <c:valAx>
        <c:axId val="890135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9705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by Product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'Chart Workshop'!$C$63</c:f>
              <c:strCache>
                <c:ptCount val="1"/>
                <c:pt idx="0">
                  <c:v>Revenue Share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6B58-4BE9-864A-077E0CD6611A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6B58-4BE9-864A-077E0CD6611A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6B58-4BE9-864A-077E0CD6611A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6B58-4BE9-864A-077E0CD6611A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6B58-4BE9-864A-077E0CD6611A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6B58-4BE9-864A-077E0CD6611A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6B58-4BE9-864A-077E0CD6611A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6B58-4BE9-864A-077E0CD6611A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6B58-4BE9-864A-077E0CD6611A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6B58-4BE9-864A-077E0CD6611A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6B58-4BE9-864A-077E0CD6611A}"/>
                </c:ext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6B58-4BE9-864A-077E0CD661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'Chart Workshop'!$B$64:$B$69</c:f>
              <c:strCache>
                <c:ptCount val="6"/>
                <c:pt idx="0">
                  <c:v>Electronics</c:v>
                </c:pt>
                <c:pt idx="1">
                  <c:v>Appliances</c:v>
                </c:pt>
                <c:pt idx="2">
                  <c:v>Footwear</c:v>
                </c:pt>
                <c:pt idx="3">
                  <c:v>Fitness</c:v>
                </c:pt>
                <c:pt idx="4">
                  <c:v>Nutrition</c:v>
                </c:pt>
                <c:pt idx="5">
                  <c:v>Furniture</c:v>
                </c:pt>
              </c:strCache>
            </c:strRef>
          </c:cat>
          <c:val>
            <c:numRef>
              <c:f>'Chart Workshop'!$C$64:$C$69</c:f>
              <c:numCache>
                <c:formatCode>0%</c:formatCode>
                <c:ptCount val="6"/>
                <c:pt idx="0">
                  <c:v>0.42</c:v>
                </c:pt>
                <c:pt idx="1">
                  <c:v>0.2</c:v>
                </c:pt>
                <c:pt idx="2">
                  <c:v>0.14000000000000001</c:v>
                </c:pt>
                <c:pt idx="3">
                  <c:v>0.13</c:v>
                </c:pt>
                <c:pt idx="4">
                  <c:v>0.08</c:v>
                </c:pt>
                <c:pt idx="5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B58-4BE9-864A-077E0CD66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Revenue by Region (Q1 only)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Workshop'!$C$6</c:f>
              <c:strCache>
                <c:ptCount val="1"/>
                <c:pt idx="0">
                  <c:v>Jan-25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Workshop'!$B$7:$B$10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'Chart Workshop'!$C$7:$C$10</c:f>
              <c:numCache>
                <c:formatCode>#,##0</c:formatCode>
                <c:ptCount val="4"/>
                <c:pt idx="0">
                  <c:v>195000</c:v>
                </c:pt>
                <c:pt idx="1">
                  <c:v>162000</c:v>
                </c:pt>
                <c:pt idx="2">
                  <c:v>138000</c:v>
                </c:pt>
                <c:pt idx="3">
                  <c:v>218000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E9-478E-9021-A4B4CC72B86A}"/>
            </c:ext>
          </c:extLst>
        </c:ser>
        <c:ser>
          <c:idx val="1"/>
          <c:order val="1"/>
          <c:tx>
            <c:strRef>
              <c:f>'Chart Workshop'!$D$6</c:f>
              <c:strCache>
                <c:ptCount val="1"/>
                <c:pt idx="0">
                  <c:v>Feb-25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Workshop'!$B$7:$B$10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'Chart Workshop'!$D$7:$D$10</c:f>
              <c:numCache>
                <c:formatCode>#,##0</c:formatCode>
                <c:ptCount val="4"/>
                <c:pt idx="0">
                  <c:v>188000</c:v>
                </c:pt>
                <c:pt idx="1">
                  <c:v>155000</c:v>
                </c:pt>
                <c:pt idx="2">
                  <c:v>128000</c:v>
                </c:pt>
                <c:pt idx="3">
                  <c:v>205000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E9-478E-9021-A4B4CC72B86A}"/>
            </c:ext>
          </c:extLst>
        </c:ser>
        <c:ser>
          <c:idx val="2"/>
          <c:order val="2"/>
          <c:tx>
            <c:strRef>
              <c:f>'Chart Workshop'!$E$6</c:f>
              <c:strCache>
                <c:ptCount val="1"/>
                <c:pt idx="0">
                  <c:v>Mar-25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Workshop'!$B$7:$B$10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'Chart Workshop'!$E$7:$E$10</c:f>
              <c:numCache>
                <c:formatCode>#,##0</c:formatCode>
                <c:ptCount val="4"/>
                <c:pt idx="0">
                  <c:v>275000</c:v>
                </c:pt>
                <c:pt idx="1">
                  <c:v>210000</c:v>
                </c:pt>
                <c:pt idx="2">
                  <c:v>172000</c:v>
                </c:pt>
                <c:pt idx="3">
                  <c:v>310000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E9-478E-9021-A4B4CC72B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5885168"/>
        <c:axId val="1820120544"/>
      </c:barChart>
      <c:catAx>
        <c:axId val="175588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120544"/>
        <c:crosses val="autoZero"/>
        <c:auto val="1"/>
        <c:lblAlgn val="ctr"/>
        <c:lblOffset val="100"/>
        <c:noMultiLvlLbl val="0"/>
      </c:catAx>
      <c:valAx>
        <c:axId val="1820120544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88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Quarterly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Workshop'!$C$33</c:f>
              <c:strCache>
                <c:ptCount val="1"/>
                <c:pt idx="0">
                  <c:v>Total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Workshop'!$B$34:$B$39</c:f>
              <c:strCache>
                <c:ptCount val="6"/>
                <c:pt idx="0">
                  <c:v>Q1 FY24</c:v>
                </c:pt>
                <c:pt idx="1">
                  <c:v>Q2 FY24</c:v>
                </c:pt>
                <c:pt idx="2">
                  <c:v>Q3 FY24</c:v>
                </c:pt>
                <c:pt idx="3">
                  <c:v>Q4 FY24</c:v>
                </c:pt>
                <c:pt idx="4">
                  <c:v>Q1 FY25</c:v>
                </c:pt>
                <c:pt idx="5">
                  <c:v>Q2 FY25</c:v>
                </c:pt>
              </c:strCache>
            </c:strRef>
          </c:cat>
          <c:val>
            <c:numRef>
              <c:f>'Chart Workshop'!$C$34:$C$39</c:f>
              <c:numCache>
                <c:formatCode>#,##0</c:formatCode>
                <c:ptCount val="6"/>
                <c:pt idx="0">
                  <c:v>2050000</c:v>
                </c:pt>
                <c:pt idx="1">
                  <c:v>2348000</c:v>
                </c:pt>
                <c:pt idx="2">
                  <c:v>2628000</c:v>
                </c:pt>
                <c:pt idx="3">
                  <c:v>2890000</c:v>
                </c:pt>
                <c:pt idx="4">
                  <c:v>1786000</c:v>
                </c:pt>
                <c:pt idx="5">
                  <c:v>2110000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90-418E-A54F-C707782A37D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73687920"/>
        <c:axId val="1909643568"/>
      </c:lineChart>
      <c:catAx>
        <c:axId val="1173687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643568"/>
        <c:crosses val="autoZero"/>
        <c:auto val="1"/>
        <c:lblAlgn val="ctr"/>
        <c:lblOffset val="100"/>
        <c:noMultiLvlLbl val="0"/>
      </c:catAx>
      <c:valAx>
        <c:axId val="190964356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687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Product Category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'Chart Workshop'!$C$63</c:f>
              <c:strCache>
                <c:ptCount val="1"/>
                <c:pt idx="0">
                  <c:v>Revenue Share</c:v>
                </c:pt>
              </c:strCache>
            </c:strRef>
          </c:tx>
          <c:explosion val="13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B76-4384-A4F3-A9C0B9A985F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B76-4384-A4F3-A9C0B9A985F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B76-4384-A4F3-A9C0B9A985F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B76-4384-A4F3-A9C0B9A985F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B76-4384-A4F3-A9C0B9A985F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B76-4384-A4F3-A9C0B9A985F4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CB76-4384-A4F3-A9C0B9A985F4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CB76-4384-A4F3-A9C0B9A985F4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CB76-4384-A4F3-A9C0B9A985F4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CB76-4384-A4F3-A9C0B9A985F4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CB76-4384-A4F3-A9C0B9A985F4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CB76-4384-A4F3-A9C0B9A985F4}"/>
                </c:ext>
              </c:extLst>
            </c:dLbl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'Chart Workshop'!$B$64:$B$69</c:f>
              <c:strCache>
                <c:ptCount val="6"/>
                <c:pt idx="0">
                  <c:v>Electronics</c:v>
                </c:pt>
                <c:pt idx="1">
                  <c:v>Appliances</c:v>
                </c:pt>
                <c:pt idx="2">
                  <c:v>Footwear</c:v>
                </c:pt>
                <c:pt idx="3">
                  <c:v>Fitness</c:v>
                </c:pt>
                <c:pt idx="4">
                  <c:v>Nutrition</c:v>
                </c:pt>
                <c:pt idx="5">
                  <c:v>Furniture</c:v>
                </c:pt>
              </c:strCache>
            </c:strRef>
          </c:cat>
          <c:val>
            <c:numRef>
              <c:f>'Chart Workshop'!$C$64:$C$69</c:f>
              <c:numCache>
                <c:formatCode>0%</c:formatCode>
                <c:ptCount val="6"/>
                <c:pt idx="0">
                  <c:v>0.42</c:v>
                </c:pt>
                <c:pt idx="1">
                  <c:v>0.2</c:v>
                </c:pt>
                <c:pt idx="2">
                  <c:v>0.14000000000000001</c:v>
                </c:pt>
                <c:pt idx="3">
                  <c:v>0.13</c:v>
                </c:pt>
                <c:pt idx="4">
                  <c:v>0.08</c:v>
                </c:pt>
                <c:pt idx="5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B76-4384-A4F3-A9C0B9A985F4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15240</xdr:colOff>
      <xdr:row>8</xdr:row>
      <xdr:rowOff>99060</xdr:rowOff>
    </xdr:from>
    <xdr:to>
      <xdr:col>16</xdr:col>
      <xdr:colOff>320700</xdr:colOff>
      <xdr:row>26</xdr:row>
      <xdr:rowOff>170580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91440</xdr:colOff>
      <xdr:row>31</xdr:row>
      <xdr:rowOff>205740</xdr:rowOff>
    </xdr:from>
    <xdr:to>
      <xdr:col>17</xdr:col>
      <xdr:colOff>8280</xdr:colOff>
      <xdr:row>50</xdr:row>
      <xdr:rowOff>121140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228600</xdr:colOff>
      <xdr:row>63</xdr:row>
      <xdr:rowOff>15240</xdr:rowOff>
    </xdr:from>
    <xdr:to>
      <xdr:col>14</xdr:col>
      <xdr:colOff>265500</xdr:colOff>
      <xdr:row>82</xdr:row>
      <xdr:rowOff>21720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4</xdr:col>
      <xdr:colOff>22860</xdr:colOff>
      <xdr:row>28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10D594-33FF-4CB3-A213-A8FCDC4412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38100</xdr:colOff>
      <xdr:row>11</xdr:row>
      <xdr:rowOff>152400</xdr:rowOff>
    </xdr:from>
    <xdr:to>
      <xdr:col>6</xdr:col>
      <xdr:colOff>1051560</xdr:colOff>
      <xdr:row>28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191A75-BF91-4265-9546-FBCC81E089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1028700</xdr:colOff>
      <xdr:row>11</xdr:row>
      <xdr:rowOff>144780</xdr:rowOff>
    </xdr:from>
    <xdr:to>
      <xdr:col>9</xdr:col>
      <xdr:colOff>91440</xdr:colOff>
      <xdr:row>28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EA2FD05-1AC6-4246-9364-4B80DD8F99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H30"/>
  <sheetViews>
    <sheetView showGridLines="0" zoomScaleNormal="100" workbookViewId="0">
      <selection activeCell="D25" sqref="D25"/>
    </sheetView>
  </sheetViews>
  <sheetFormatPr defaultColWidth="8.6640625" defaultRowHeight="14.4" x14ac:dyDescent="0.3"/>
  <cols>
    <col min="1" max="1" width="3" customWidth="1"/>
    <col min="2" max="8" width="14" customWidth="1"/>
    <col min="9" max="9" width="3" customWidth="1"/>
  </cols>
  <sheetData>
    <row r="1" spans="2:8" ht="7.5" customHeight="1" x14ac:dyDescent="0.3"/>
    <row r="2" spans="2:8" ht="36" customHeight="1" x14ac:dyDescent="0.3">
      <c r="B2" s="14" t="s">
        <v>0</v>
      </c>
      <c r="C2" s="14"/>
      <c r="D2" s="14"/>
      <c r="E2" s="14"/>
      <c r="F2" s="14"/>
      <c r="G2" s="14"/>
      <c r="H2" s="14"/>
    </row>
    <row r="3" spans="2:8" ht="30" customHeight="1" x14ac:dyDescent="0.3">
      <c r="B3" s="13" t="s">
        <v>1</v>
      </c>
      <c r="C3" s="13"/>
      <c r="D3" s="13"/>
      <c r="E3" s="13"/>
      <c r="F3" s="13"/>
      <c r="G3" s="13"/>
      <c r="H3" s="13"/>
    </row>
    <row r="4" spans="2:8" ht="24" customHeight="1" x14ac:dyDescent="0.3"/>
    <row r="5" spans="2:8" ht="21.75" customHeight="1" x14ac:dyDescent="0.3">
      <c r="B5" s="12" t="s">
        <v>2</v>
      </c>
      <c r="C5" s="12"/>
      <c r="D5" s="12"/>
      <c r="E5" s="12"/>
      <c r="F5" s="12"/>
      <c r="G5" s="12"/>
      <c r="H5" s="12"/>
    </row>
    <row r="6" spans="2:8" x14ac:dyDescent="0.3">
      <c r="B6" s="15" t="s">
        <v>3</v>
      </c>
      <c r="C6" s="15" t="s">
        <v>4</v>
      </c>
      <c r="D6" s="15" t="s">
        <v>5</v>
      </c>
      <c r="E6" s="15" t="s">
        <v>6</v>
      </c>
      <c r="F6" s="15" t="s">
        <v>7</v>
      </c>
      <c r="G6" s="15" t="s">
        <v>8</v>
      </c>
    </row>
    <row r="7" spans="2:8" x14ac:dyDescent="0.3">
      <c r="B7" s="16" t="s">
        <v>9</v>
      </c>
      <c r="C7" s="17">
        <v>182000</v>
      </c>
      <c r="D7" s="17">
        <v>145000</v>
      </c>
      <c r="E7" s="17">
        <v>98000</v>
      </c>
      <c r="F7" s="17">
        <v>210000</v>
      </c>
      <c r="G7" s="18">
        <f t="shared" ref="G7:G18" si="0">SUM(C7:F7)</f>
        <v>635000</v>
      </c>
    </row>
    <row r="8" spans="2:8" x14ac:dyDescent="0.3">
      <c r="B8" s="19" t="s">
        <v>10</v>
      </c>
      <c r="C8" s="20">
        <v>195000</v>
      </c>
      <c r="D8" s="20">
        <v>138000</v>
      </c>
      <c r="E8" s="20">
        <v>112000</v>
      </c>
      <c r="F8" s="20">
        <v>225000</v>
      </c>
      <c r="G8" s="18">
        <f t="shared" si="0"/>
        <v>670000</v>
      </c>
    </row>
    <row r="9" spans="2:8" x14ac:dyDescent="0.3">
      <c r="B9" s="16" t="s">
        <v>11</v>
      </c>
      <c r="C9" s="17">
        <v>178000</v>
      </c>
      <c r="D9" s="17">
        <v>152000</v>
      </c>
      <c r="E9" s="17">
        <v>105000</v>
      </c>
      <c r="F9" s="17">
        <v>198000</v>
      </c>
      <c r="G9" s="18">
        <f t="shared" si="0"/>
        <v>633000</v>
      </c>
    </row>
    <row r="10" spans="2:8" x14ac:dyDescent="0.3">
      <c r="B10" s="19" t="s">
        <v>12</v>
      </c>
      <c r="C10" s="20">
        <v>210000</v>
      </c>
      <c r="D10" s="20">
        <v>160000</v>
      </c>
      <c r="E10" s="20">
        <v>125000</v>
      </c>
      <c r="F10" s="20">
        <v>245000</v>
      </c>
      <c r="G10" s="18">
        <f t="shared" si="0"/>
        <v>740000</v>
      </c>
    </row>
    <row r="11" spans="2:8" x14ac:dyDescent="0.3">
      <c r="B11" s="16" t="s">
        <v>13</v>
      </c>
      <c r="C11" s="17">
        <v>225000</v>
      </c>
      <c r="D11" s="17">
        <v>155000</v>
      </c>
      <c r="E11" s="17">
        <v>118000</v>
      </c>
      <c r="F11" s="17">
        <v>260000</v>
      </c>
      <c r="G11" s="18">
        <f t="shared" si="0"/>
        <v>758000</v>
      </c>
    </row>
    <row r="12" spans="2:8" x14ac:dyDescent="0.3">
      <c r="B12" s="19" t="s">
        <v>14</v>
      </c>
      <c r="C12" s="20">
        <v>198000</v>
      </c>
      <c r="D12" s="20">
        <v>170000</v>
      </c>
      <c r="E12" s="20">
        <v>132000</v>
      </c>
      <c r="F12" s="20">
        <v>238000</v>
      </c>
      <c r="G12" s="18">
        <f t="shared" si="0"/>
        <v>738000</v>
      </c>
    </row>
    <row r="13" spans="2:8" x14ac:dyDescent="0.3">
      <c r="B13" s="16" t="s">
        <v>15</v>
      </c>
      <c r="C13" s="17">
        <v>245000</v>
      </c>
      <c r="D13" s="17">
        <v>182000</v>
      </c>
      <c r="E13" s="17">
        <v>145000</v>
      </c>
      <c r="F13" s="17">
        <v>275000</v>
      </c>
      <c r="G13" s="18">
        <f t="shared" si="0"/>
        <v>847000</v>
      </c>
    </row>
    <row r="14" spans="2:8" x14ac:dyDescent="0.3">
      <c r="B14" s="19" t="s">
        <v>16</v>
      </c>
      <c r="C14" s="20">
        <v>268000</v>
      </c>
      <c r="D14" s="20">
        <v>195000</v>
      </c>
      <c r="E14" s="20">
        <v>158000</v>
      </c>
      <c r="F14" s="20">
        <v>292000</v>
      </c>
      <c r="G14" s="18">
        <f t="shared" si="0"/>
        <v>913000</v>
      </c>
    </row>
    <row r="15" spans="2:8" x14ac:dyDescent="0.3">
      <c r="B15" s="16" t="s">
        <v>17</v>
      </c>
      <c r="C15" s="17">
        <v>312000</v>
      </c>
      <c r="D15" s="17">
        <v>228000</v>
      </c>
      <c r="E15" s="17">
        <v>185000</v>
      </c>
      <c r="F15" s="17">
        <v>335000</v>
      </c>
      <c r="G15" s="18">
        <f t="shared" si="0"/>
        <v>1060000</v>
      </c>
    </row>
    <row r="16" spans="2:8" x14ac:dyDescent="0.3">
      <c r="B16" s="19" t="s">
        <v>18</v>
      </c>
      <c r="C16" s="20">
        <v>195000</v>
      </c>
      <c r="D16" s="20">
        <v>162000</v>
      </c>
      <c r="E16" s="20">
        <v>138000</v>
      </c>
      <c r="F16" s="20">
        <v>218000</v>
      </c>
      <c r="G16" s="18">
        <f t="shared" si="0"/>
        <v>713000</v>
      </c>
    </row>
    <row r="17" spans="2:8" x14ac:dyDescent="0.3">
      <c r="B17" s="16" t="s">
        <v>19</v>
      </c>
      <c r="C17" s="17">
        <v>188000</v>
      </c>
      <c r="D17" s="17">
        <v>155000</v>
      </c>
      <c r="E17" s="17">
        <v>128000</v>
      </c>
      <c r="F17" s="17">
        <v>205000</v>
      </c>
      <c r="G17" s="18">
        <f t="shared" si="0"/>
        <v>676000</v>
      </c>
    </row>
    <row r="18" spans="2:8" x14ac:dyDescent="0.3">
      <c r="B18" s="19" t="s">
        <v>20</v>
      </c>
      <c r="C18" s="20">
        <v>275000</v>
      </c>
      <c r="D18" s="20">
        <v>210000</v>
      </c>
      <c r="E18" s="20">
        <v>172000</v>
      </c>
      <c r="F18" s="20">
        <v>310000</v>
      </c>
      <c r="G18" s="18">
        <f t="shared" si="0"/>
        <v>967000</v>
      </c>
    </row>
    <row r="19" spans="2:8" ht="21.75" customHeight="1" x14ac:dyDescent="0.3">
      <c r="B19" s="15" t="s">
        <v>21</v>
      </c>
      <c r="C19" s="21">
        <f>SUM(C7:C18)</f>
        <v>2671000</v>
      </c>
      <c r="D19" s="21">
        <f>SUM(D7:D18)</f>
        <v>2052000</v>
      </c>
      <c r="E19" s="21">
        <f>SUM(E7:E18)</f>
        <v>1616000</v>
      </c>
      <c r="F19" s="21">
        <f>SUM(F7:F18)</f>
        <v>3011000</v>
      </c>
      <c r="G19" s="22">
        <f>SUM(G7:G18)</f>
        <v>9350000</v>
      </c>
    </row>
    <row r="22" spans="2:8" ht="21.75" customHeight="1" x14ac:dyDescent="0.3">
      <c r="B22" s="12" t="s">
        <v>22</v>
      </c>
      <c r="C22" s="12"/>
      <c r="D22" s="12"/>
      <c r="E22" s="12"/>
      <c r="F22" s="12"/>
      <c r="G22" s="12"/>
      <c r="H22" s="12"/>
    </row>
    <row r="23" spans="2:8" x14ac:dyDescent="0.3">
      <c r="B23" s="15" t="s">
        <v>23</v>
      </c>
      <c r="C23" s="15" t="s">
        <v>24</v>
      </c>
      <c r="D23" s="15" t="s">
        <v>25</v>
      </c>
      <c r="E23" s="15" t="s">
        <v>26</v>
      </c>
      <c r="F23" s="15" t="s">
        <v>27</v>
      </c>
    </row>
    <row r="24" spans="2:8" x14ac:dyDescent="0.3">
      <c r="B24" s="23" t="s">
        <v>28</v>
      </c>
      <c r="C24" s="17">
        <v>9850000</v>
      </c>
      <c r="D24" s="24">
        <f t="shared" ref="D24:D29" si="1">C24/C$30</f>
        <v>0.42148053059477963</v>
      </c>
      <c r="E24" s="17">
        <v>285</v>
      </c>
      <c r="F24" s="17">
        <f t="shared" ref="F24:F29" si="2">C24/E24</f>
        <v>34561.403508771931</v>
      </c>
    </row>
    <row r="25" spans="2:8" x14ac:dyDescent="0.3">
      <c r="B25" s="25" t="s">
        <v>29</v>
      </c>
      <c r="C25" s="20">
        <v>4620000</v>
      </c>
      <c r="D25" s="26">
        <f t="shared" si="1"/>
        <v>0.19768934531450577</v>
      </c>
      <c r="E25" s="20">
        <v>412</v>
      </c>
      <c r="F25" s="20">
        <f t="shared" si="2"/>
        <v>11213.592233009709</v>
      </c>
    </row>
    <row r="26" spans="2:8" x14ac:dyDescent="0.3">
      <c r="B26" s="23" t="s">
        <v>30</v>
      </c>
      <c r="C26" s="17">
        <v>3280000</v>
      </c>
      <c r="D26" s="24">
        <f t="shared" si="1"/>
        <v>0.14035087719298245</v>
      </c>
      <c r="E26" s="17">
        <v>890</v>
      </c>
      <c r="F26" s="17">
        <f t="shared" si="2"/>
        <v>3685.3932584269664</v>
      </c>
    </row>
    <row r="27" spans="2:8" x14ac:dyDescent="0.3">
      <c r="B27" s="25" t="s">
        <v>31</v>
      </c>
      <c r="C27" s="20">
        <v>2950000</v>
      </c>
      <c r="D27" s="26">
        <f t="shared" si="1"/>
        <v>0.12623020967051776</v>
      </c>
      <c r="E27" s="20">
        <v>1240</v>
      </c>
      <c r="F27" s="20">
        <f t="shared" si="2"/>
        <v>2379.0322580645161</v>
      </c>
    </row>
    <row r="28" spans="2:8" x14ac:dyDescent="0.3">
      <c r="B28" s="23" t="s">
        <v>32</v>
      </c>
      <c r="C28" s="17">
        <v>1850000</v>
      </c>
      <c r="D28" s="24">
        <f t="shared" si="1"/>
        <v>7.9161317928968758E-2</v>
      </c>
      <c r="E28" s="17">
        <v>680</v>
      </c>
      <c r="F28" s="17">
        <f t="shared" si="2"/>
        <v>2720.5882352941176</v>
      </c>
    </row>
    <row r="29" spans="2:8" x14ac:dyDescent="0.3">
      <c r="B29" s="25" t="s">
        <v>33</v>
      </c>
      <c r="C29" s="20">
        <v>820000</v>
      </c>
      <c r="D29" s="26">
        <f t="shared" si="1"/>
        <v>3.5087719298245612E-2</v>
      </c>
      <c r="E29" s="20">
        <v>95</v>
      </c>
      <c r="F29" s="20">
        <f t="shared" si="2"/>
        <v>8631.5789473684217</v>
      </c>
    </row>
    <row r="30" spans="2:8" ht="21.75" customHeight="1" x14ac:dyDescent="0.3">
      <c r="B30" s="15" t="s">
        <v>21</v>
      </c>
      <c r="C30" s="21">
        <f>SUM(C24:C29)</f>
        <v>23370000</v>
      </c>
      <c r="D30" s="27"/>
      <c r="E30" s="21">
        <f>SUM(E24:E29)</f>
        <v>3602</v>
      </c>
      <c r="F30" s="27"/>
    </row>
  </sheetData>
  <mergeCells count="4">
    <mergeCell ref="B2:H2"/>
    <mergeCell ref="B3:H3"/>
    <mergeCell ref="B5:H5"/>
    <mergeCell ref="B22:H2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EAA"/>
  </sheetPr>
  <dimension ref="B1:G91"/>
  <sheetViews>
    <sheetView showGridLines="0" topLeftCell="A70" zoomScaleNormal="100" workbookViewId="0">
      <selection activeCell="B88" sqref="B88:G88"/>
    </sheetView>
  </sheetViews>
  <sheetFormatPr defaultColWidth="8.6640625" defaultRowHeight="14.4" x14ac:dyDescent="0.3"/>
  <cols>
    <col min="1" max="1" width="3" customWidth="1"/>
    <col min="2" max="2" width="22" customWidth="1"/>
    <col min="3" max="7" width="16" customWidth="1"/>
    <col min="8" max="8" width="3" customWidth="1"/>
  </cols>
  <sheetData>
    <row r="1" spans="2:7" ht="7.5" customHeight="1" x14ac:dyDescent="0.3"/>
    <row r="2" spans="2:7" ht="36" customHeight="1" x14ac:dyDescent="0.3">
      <c r="B2" s="14" t="s">
        <v>34</v>
      </c>
      <c r="C2" s="14"/>
      <c r="D2" s="14"/>
      <c r="E2" s="14"/>
      <c r="F2" s="14"/>
      <c r="G2" s="14"/>
    </row>
    <row r="3" spans="2:7" ht="30" customHeight="1" x14ac:dyDescent="0.3">
      <c r="B3" s="13" t="s">
        <v>35</v>
      </c>
      <c r="C3" s="13"/>
      <c r="D3" s="13"/>
      <c r="E3" s="13"/>
      <c r="F3" s="13"/>
      <c r="G3" s="13"/>
    </row>
    <row r="5" spans="2:7" ht="21.75" customHeight="1" x14ac:dyDescent="0.3">
      <c r="B5" s="11" t="s">
        <v>36</v>
      </c>
      <c r="C5" s="11"/>
      <c r="D5" s="11"/>
      <c r="E5" s="11"/>
      <c r="F5" s="11"/>
      <c r="G5" s="11"/>
    </row>
    <row r="6" spans="2:7" x14ac:dyDescent="0.3">
      <c r="B6" s="28" t="s">
        <v>37</v>
      </c>
      <c r="C6" s="28" t="s">
        <v>18</v>
      </c>
      <c r="D6" s="28" t="s">
        <v>19</v>
      </c>
      <c r="E6" s="28" t="s">
        <v>20</v>
      </c>
    </row>
    <row r="7" spans="2:7" x14ac:dyDescent="0.3">
      <c r="B7" s="16" t="s">
        <v>4</v>
      </c>
      <c r="C7" s="17">
        <v>195000</v>
      </c>
      <c r="D7" s="17">
        <v>188000</v>
      </c>
      <c r="E7" s="17">
        <v>275000</v>
      </c>
    </row>
    <row r="8" spans="2:7" x14ac:dyDescent="0.3">
      <c r="B8" s="19" t="s">
        <v>5</v>
      </c>
      <c r="C8" s="20">
        <v>162000</v>
      </c>
      <c r="D8" s="20">
        <v>155000</v>
      </c>
      <c r="E8" s="20">
        <v>210000</v>
      </c>
    </row>
    <row r="9" spans="2:7" x14ac:dyDescent="0.3">
      <c r="B9" s="16" t="s">
        <v>6</v>
      </c>
      <c r="C9" s="17">
        <v>138000</v>
      </c>
      <c r="D9" s="17">
        <v>128000</v>
      </c>
      <c r="E9" s="17">
        <v>172000</v>
      </c>
    </row>
    <row r="10" spans="2:7" x14ac:dyDescent="0.3">
      <c r="B10" s="19" t="s">
        <v>7</v>
      </c>
      <c r="C10" s="20">
        <v>218000</v>
      </c>
      <c r="D10" s="20">
        <v>205000</v>
      </c>
      <c r="E10" s="20">
        <v>310000</v>
      </c>
    </row>
    <row r="24" spans="2:7" x14ac:dyDescent="0.3">
      <c r="B24" s="10" t="s">
        <v>38</v>
      </c>
      <c r="C24" s="10"/>
      <c r="D24" s="10"/>
      <c r="E24" s="10"/>
      <c r="F24" s="10"/>
      <c r="G24" s="10"/>
    </row>
    <row r="25" spans="2:7" ht="19.5" customHeight="1" x14ac:dyDescent="0.3">
      <c r="B25" s="9" t="s">
        <v>39</v>
      </c>
      <c r="C25" s="9"/>
      <c r="D25" s="9"/>
      <c r="E25" s="9"/>
      <c r="F25" s="9"/>
      <c r="G25" s="9"/>
    </row>
    <row r="26" spans="2:7" ht="19.5" customHeight="1" x14ac:dyDescent="0.3">
      <c r="B26" s="8" t="s">
        <v>40</v>
      </c>
      <c r="C26" s="8"/>
      <c r="D26" s="8"/>
      <c r="E26" s="8"/>
      <c r="F26" s="8"/>
      <c r="G26" s="8"/>
    </row>
    <row r="27" spans="2:7" ht="19.5" customHeight="1" x14ac:dyDescent="0.3">
      <c r="B27" s="9" t="s">
        <v>41</v>
      </c>
      <c r="C27" s="9"/>
      <c r="D27" s="9"/>
      <c r="E27" s="9"/>
      <c r="F27" s="9"/>
      <c r="G27" s="9"/>
    </row>
    <row r="28" spans="2:7" ht="19.5" customHeight="1" x14ac:dyDescent="0.3">
      <c r="B28" s="8" t="s">
        <v>42</v>
      </c>
      <c r="C28" s="8"/>
      <c r="D28" s="8"/>
      <c r="E28" s="8"/>
      <c r="F28" s="8"/>
      <c r="G28" s="8"/>
    </row>
    <row r="29" spans="2:7" ht="19.5" customHeight="1" x14ac:dyDescent="0.3">
      <c r="B29" s="9" t="s">
        <v>43</v>
      </c>
      <c r="C29" s="9"/>
      <c r="D29" s="9"/>
      <c r="E29" s="9"/>
      <c r="F29" s="9"/>
      <c r="G29" s="9"/>
    </row>
    <row r="30" spans="2:7" ht="19.5" customHeight="1" x14ac:dyDescent="0.3">
      <c r="B30" s="7" t="s">
        <v>44</v>
      </c>
      <c r="C30" s="7"/>
      <c r="D30" s="7"/>
      <c r="E30" s="7"/>
      <c r="F30" s="7"/>
      <c r="G30" s="7"/>
    </row>
    <row r="32" spans="2:7" ht="21.75" customHeight="1" x14ac:dyDescent="0.3">
      <c r="B32" s="6" t="s">
        <v>45</v>
      </c>
      <c r="C32" s="6"/>
      <c r="D32" s="6"/>
      <c r="E32" s="6"/>
      <c r="F32" s="6"/>
      <c r="G32" s="6"/>
    </row>
    <row r="33" spans="2:3" x14ac:dyDescent="0.3">
      <c r="B33" s="28" t="s">
        <v>3</v>
      </c>
      <c r="C33" s="28" t="s">
        <v>46</v>
      </c>
    </row>
    <row r="34" spans="2:3" x14ac:dyDescent="0.3">
      <c r="B34" s="16" t="s">
        <v>47</v>
      </c>
      <c r="C34" s="17">
        <v>2050000</v>
      </c>
    </row>
    <row r="35" spans="2:3" x14ac:dyDescent="0.3">
      <c r="B35" s="19" t="s">
        <v>48</v>
      </c>
      <c r="C35" s="20">
        <v>2348000</v>
      </c>
    </row>
    <row r="36" spans="2:3" x14ac:dyDescent="0.3">
      <c r="B36" s="16" t="s">
        <v>49</v>
      </c>
      <c r="C36" s="17">
        <v>2628000</v>
      </c>
    </row>
    <row r="37" spans="2:3" x14ac:dyDescent="0.3">
      <c r="B37" s="19" t="s">
        <v>50</v>
      </c>
      <c r="C37" s="20">
        <v>2890000</v>
      </c>
    </row>
    <row r="38" spans="2:3" x14ac:dyDescent="0.3">
      <c r="B38" s="16" t="s">
        <v>51</v>
      </c>
      <c r="C38" s="17">
        <v>1786000</v>
      </c>
    </row>
    <row r="39" spans="2:3" x14ac:dyDescent="0.3">
      <c r="B39" s="19" t="s">
        <v>52</v>
      </c>
      <c r="C39" s="20">
        <v>2110000</v>
      </c>
    </row>
    <row r="54" spans="2:7" x14ac:dyDescent="0.3">
      <c r="B54" s="10" t="s">
        <v>38</v>
      </c>
      <c r="C54" s="10"/>
      <c r="D54" s="10"/>
      <c r="E54" s="10"/>
      <c r="F54" s="10"/>
      <c r="G54" s="10"/>
    </row>
    <row r="55" spans="2:7" ht="19.5" customHeight="1" x14ac:dyDescent="0.3">
      <c r="B55" s="9" t="s">
        <v>53</v>
      </c>
      <c r="C55" s="9"/>
      <c r="D55" s="9"/>
      <c r="E55" s="9"/>
      <c r="F55" s="9"/>
      <c r="G55" s="9"/>
    </row>
    <row r="56" spans="2:7" ht="19.5" customHeight="1" x14ac:dyDescent="0.3">
      <c r="B56" s="8" t="s">
        <v>54</v>
      </c>
      <c r="C56" s="8"/>
      <c r="D56" s="8"/>
      <c r="E56" s="8"/>
      <c r="F56" s="8"/>
      <c r="G56" s="8"/>
    </row>
    <row r="57" spans="2:7" ht="19.5" customHeight="1" x14ac:dyDescent="0.3">
      <c r="B57" s="9" t="s">
        <v>55</v>
      </c>
      <c r="C57" s="9"/>
      <c r="D57" s="9"/>
      <c r="E57" s="9"/>
      <c r="F57" s="9"/>
      <c r="G57" s="9"/>
    </row>
    <row r="58" spans="2:7" ht="19.5" customHeight="1" x14ac:dyDescent="0.3">
      <c r="B58" s="8" t="s">
        <v>56</v>
      </c>
      <c r="C58" s="8"/>
      <c r="D58" s="8"/>
      <c r="E58" s="8"/>
      <c r="F58" s="8"/>
      <c r="G58" s="8"/>
    </row>
    <row r="59" spans="2:7" ht="19.5" customHeight="1" x14ac:dyDescent="0.3">
      <c r="B59" s="9" t="s">
        <v>57</v>
      </c>
      <c r="C59" s="9"/>
      <c r="D59" s="9"/>
      <c r="E59" s="9"/>
      <c r="F59" s="9"/>
      <c r="G59" s="9"/>
    </row>
    <row r="60" spans="2:7" ht="19.5" customHeight="1" x14ac:dyDescent="0.3">
      <c r="B60" s="7" t="s">
        <v>58</v>
      </c>
      <c r="C60" s="7"/>
      <c r="D60" s="7"/>
      <c r="E60" s="7"/>
      <c r="F60" s="7"/>
      <c r="G60" s="7"/>
    </row>
    <row r="62" spans="2:7" ht="21.75" customHeight="1" x14ac:dyDescent="0.3">
      <c r="B62" s="5" t="s">
        <v>59</v>
      </c>
      <c r="C62" s="5"/>
      <c r="D62" s="5"/>
      <c r="E62" s="5"/>
      <c r="F62" s="5"/>
      <c r="G62" s="5"/>
    </row>
    <row r="63" spans="2:7" x14ac:dyDescent="0.3">
      <c r="B63" s="28" t="s">
        <v>23</v>
      </c>
      <c r="C63" s="28" t="s">
        <v>60</v>
      </c>
    </row>
    <row r="64" spans="2:7" x14ac:dyDescent="0.3">
      <c r="B64" s="23" t="s">
        <v>28</v>
      </c>
      <c r="C64" s="30">
        <v>0.42</v>
      </c>
    </row>
    <row r="65" spans="2:3" x14ac:dyDescent="0.3">
      <c r="B65" s="25" t="s">
        <v>29</v>
      </c>
      <c r="C65" s="31">
        <v>0.2</v>
      </c>
    </row>
    <row r="66" spans="2:3" x14ac:dyDescent="0.3">
      <c r="B66" s="23" t="s">
        <v>30</v>
      </c>
      <c r="C66" s="30">
        <v>0.14000000000000001</v>
      </c>
    </row>
    <row r="67" spans="2:3" x14ac:dyDescent="0.3">
      <c r="B67" s="25" t="s">
        <v>31</v>
      </c>
      <c r="C67" s="31">
        <v>0.13</v>
      </c>
    </row>
    <row r="68" spans="2:3" x14ac:dyDescent="0.3">
      <c r="B68" s="23" t="s">
        <v>32</v>
      </c>
      <c r="C68" s="30">
        <v>0.08</v>
      </c>
    </row>
    <row r="69" spans="2:3" x14ac:dyDescent="0.3">
      <c r="B69" s="25" t="s">
        <v>33</v>
      </c>
      <c r="C69" s="31">
        <v>0.03</v>
      </c>
    </row>
    <row r="84" spans="2:7" x14ac:dyDescent="0.3">
      <c r="B84" s="10" t="s">
        <v>38</v>
      </c>
      <c r="C84" s="10"/>
      <c r="D84" s="10"/>
      <c r="E84" s="10"/>
      <c r="F84" s="10"/>
      <c r="G84" s="10"/>
    </row>
    <row r="85" spans="2:7" ht="19.5" customHeight="1" x14ac:dyDescent="0.3">
      <c r="B85" s="9" t="s">
        <v>61</v>
      </c>
      <c r="C85" s="9"/>
      <c r="D85" s="9"/>
      <c r="E85" s="9"/>
      <c r="F85" s="9"/>
      <c r="G85" s="9"/>
    </row>
    <row r="86" spans="2:7" ht="19.5" customHeight="1" x14ac:dyDescent="0.3">
      <c r="B86" s="8" t="s">
        <v>62</v>
      </c>
      <c r="C86" s="8"/>
      <c r="D86" s="8"/>
      <c r="E86" s="8"/>
      <c r="F86" s="8"/>
      <c r="G86" s="8"/>
    </row>
    <row r="87" spans="2:7" ht="19.5" customHeight="1" x14ac:dyDescent="0.3">
      <c r="B87" s="9" t="s">
        <v>63</v>
      </c>
      <c r="C87" s="9"/>
      <c r="D87" s="9"/>
      <c r="E87" s="9"/>
      <c r="F87" s="9"/>
      <c r="G87" s="9"/>
    </row>
    <row r="88" spans="2:7" ht="19.5" customHeight="1" x14ac:dyDescent="0.3">
      <c r="B88" s="8" t="s">
        <v>64</v>
      </c>
      <c r="C88" s="8"/>
      <c r="D88" s="8"/>
      <c r="E88" s="8"/>
      <c r="F88" s="8"/>
      <c r="G88" s="8"/>
    </row>
    <row r="89" spans="2:7" ht="19.5" customHeight="1" x14ac:dyDescent="0.3">
      <c r="B89" s="9" t="s">
        <v>65</v>
      </c>
      <c r="C89" s="9"/>
      <c r="D89" s="9"/>
      <c r="E89" s="9"/>
      <c r="F89" s="9"/>
      <c r="G89" s="9"/>
    </row>
    <row r="90" spans="2:7" ht="19.5" customHeight="1" x14ac:dyDescent="0.3">
      <c r="B90" s="7" t="s">
        <v>66</v>
      </c>
      <c r="C90" s="7"/>
      <c r="D90" s="7"/>
      <c r="E90" s="7"/>
      <c r="F90" s="7"/>
      <c r="G90" s="7"/>
    </row>
    <row r="91" spans="2:7" ht="19.5" customHeight="1" x14ac:dyDescent="0.3">
      <c r="B91" s="4" t="s">
        <v>67</v>
      </c>
      <c r="C91" s="4"/>
      <c r="D91" s="4"/>
      <c r="E91" s="4"/>
      <c r="F91" s="4"/>
      <c r="G91" s="4"/>
    </row>
  </sheetData>
  <mergeCells count="27">
    <mergeCell ref="B90:G90"/>
    <mergeCell ref="B91:G91"/>
    <mergeCell ref="B85:G85"/>
    <mergeCell ref="B86:G86"/>
    <mergeCell ref="B87:G87"/>
    <mergeCell ref="B88:G88"/>
    <mergeCell ref="B89:G89"/>
    <mergeCell ref="B58:G58"/>
    <mergeCell ref="B59:G59"/>
    <mergeCell ref="B60:G60"/>
    <mergeCell ref="B62:G62"/>
    <mergeCell ref="B84:G84"/>
    <mergeCell ref="B32:G32"/>
    <mergeCell ref="B54:G54"/>
    <mergeCell ref="B55:G55"/>
    <mergeCell ref="B56:G56"/>
    <mergeCell ref="B57:G57"/>
    <mergeCell ref="B26:G26"/>
    <mergeCell ref="B27:G27"/>
    <mergeCell ref="B28:G28"/>
    <mergeCell ref="B29:G29"/>
    <mergeCell ref="B30:G30"/>
    <mergeCell ref="B2:G2"/>
    <mergeCell ref="B3:G3"/>
    <mergeCell ref="B5:G5"/>
    <mergeCell ref="B24:G24"/>
    <mergeCell ref="B25:G2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A5C2A"/>
  </sheetPr>
  <dimension ref="B1:I34"/>
  <sheetViews>
    <sheetView showGridLines="0" tabSelected="1" topLeftCell="A10" zoomScaleNormal="100" workbookViewId="0">
      <selection activeCell="B33" sqref="B33:I33"/>
    </sheetView>
  </sheetViews>
  <sheetFormatPr defaultColWidth="8.6640625" defaultRowHeight="14.4" x14ac:dyDescent="0.3"/>
  <cols>
    <col min="1" max="1" width="2" customWidth="1"/>
    <col min="2" max="3" width="16" customWidth="1"/>
    <col min="4" max="4" width="26.88671875" customWidth="1"/>
    <col min="5" max="5" width="20" customWidth="1"/>
    <col min="6" max="7" width="16" customWidth="1"/>
    <col min="8" max="8" width="26.109375" customWidth="1"/>
    <col min="9" max="9" width="26" customWidth="1"/>
    <col min="10" max="10" width="2" customWidth="1"/>
  </cols>
  <sheetData>
    <row r="1" spans="2:9" ht="6" customHeight="1" x14ac:dyDescent="0.3"/>
    <row r="2" spans="2:9" ht="39.75" customHeight="1" x14ac:dyDescent="0.3">
      <c r="B2" s="3" t="s">
        <v>68</v>
      </c>
      <c r="C2" s="3"/>
      <c r="D2" s="3"/>
      <c r="E2" s="3"/>
      <c r="F2" s="3"/>
      <c r="G2" s="3"/>
      <c r="H2" s="3"/>
      <c r="I2" s="3"/>
    </row>
    <row r="3" spans="2:9" ht="27.75" customHeight="1" x14ac:dyDescent="0.3">
      <c r="B3" s="2" t="s">
        <v>69</v>
      </c>
      <c r="C3" s="2"/>
      <c r="D3" s="2"/>
      <c r="E3" s="2"/>
      <c r="F3" s="2"/>
      <c r="G3" s="2"/>
      <c r="H3" s="2"/>
      <c r="I3" s="2"/>
    </row>
    <row r="4" spans="2:9" ht="12" customHeight="1" x14ac:dyDescent="0.3"/>
    <row r="5" spans="2:9" ht="18" customHeight="1" x14ac:dyDescent="0.3">
      <c r="B5" s="32" t="s">
        <v>46</v>
      </c>
      <c r="C5" s="33" t="s">
        <v>70</v>
      </c>
      <c r="D5" s="34" t="s">
        <v>71</v>
      </c>
      <c r="E5" s="35" t="s">
        <v>72</v>
      </c>
      <c r="F5" s="36" t="s">
        <v>73</v>
      </c>
      <c r="G5" s="37" t="s">
        <v>74</v>
      </c>
    </row>
    <row r="6" spans="2:9" ht="31.5" customHeight="1" x14ac:dyDescent="0.3">
      <c r="B6" s="38">
        <f>'Data Source'!G19</f>
        <v>9350000</v>
      </c>
      <c r="C6" s="39" t="s">
        <v>17</v>
      </c>
      <c r="D6" s="40" t="s">
        <v>7</v>
      </c>
      <c r="E6" s="41">
        <f>'Data Source'!G19/12</f>
        <v>779166.66666666663</v>
      </c>
      <c r="F6" s="42">
        <f>'Data Source'!G19/12</f>
        <v>779166.66666666663</v>
      </c>
      <c r="G6" s="43">
        <f>6</f>
        <v>6</v>
      </c>
    </row>
    <row r="7" spans="2:9" ht="24" customHeight="1" x14ac:dyDescent="0.3">
      <c r="B7" s="44"/>
      <c r="C7" s="44"/>
      <c r="D7" s="44"/>
      <c r="E7" s="44"/>
      <c r="F7" s="44"/>
      <c r="G7" s="44"/>
    </row>
    <row r="8" spans="2:9" ht="15.75" customHeight="1" x14ac:dyDescent="0.3"/>
    <row r="9" spans="2:9" ht="13.5" customHeight="1" x14ac:dyDescent="0.3"/>
    <row r="10" spans="2:9" ht="13.5" customHeight="1" x14ac:dyDescent="0.3"/>
    <row r="11" spans="2:9" x14ac:dyDescent="0.3">
      <c r="B11" s="1" t="s">
        <v>75</v>
      </c>
      <c r="C11" s="1"/>
      <c r="D11" s="1"/>
      <c r="E11" s="82" t="s">
        <v>76</v>
      </c>
      <c r="F11" s="82"/>
      <c r="G11" s="82"/>
      <c r="H11" s="83" t="s">
        <v>77</v>
      </c>
      <c r="I11" s="83"/>
    </row>
    <row r="12" spans="2:9" ht="13.5" customHeight="1" x14ac:dyDescent="0.3">
      <c r="B12" s="45"/>
      <c r="C12" s="45"/>
      <c r="D12" s="45"/>
      <c r="E12" s="46"/>
      <c r="F12" s="46"/>
      <c r="G12" s="46"/>
      <c r="H12" s="47"/>
      <c r="I12" s="47"/>
    </row>
    <row r="13" spans="2:9" ht="13.5" customHeight="1" x14ac:dyDescent="0.3">
      <c r="B13" s="45"/>
      <c r="C13" s="45"/>
      <c r="D13" s="45"/>
      <c r="E13" s="46"/>
      <c r="F13" s="46"/>
      <c r="G13" s="46"/>
      <c r="H13" s="47"/>
      <c r="I13" s="47"/>
    </row>
    <row r="14" spans="2:9" ht="13.5" customHeight="1" x14ac:dyDescent="0.3">
      <c r="B14" s="45"/>
      <c r="C14" s="45"/>
      <c r="D14" s="45"/>
      <c r="E14" s="46"/>
      <c r="F14" s="46"/>
      <c r="G14" s="46"/>
      <c r="H14" s="47"/>
      <c r="I14" s="47"/>
    </row>
    <row r="15" spans="2:9" ht="13.5" customHeight="1" x14ac:dyDescent="0.3">
      <c r="B15" s="45"/>
      <c r="C15" s="45"/>
      <c r="D15" s="45"/>
      <c r="E15" s="46"/>
      <c r="F15" s="46"/>
      <c r="G15" s="46"/>
      <c r="H15" s="47"/>
      <c r="I15" s="47"/>
    </row>
    <row r="16" spans="2:9" ht="13.5" customHeight="1" x14ac:dyDescent="0.3">
      <c r="B16" s="45"/>
      <c r="C16" s="45"/>
      <c r="D16" s="45"/>
      <c r="E16" s="46"/>
      <c r="F16" s="46"/>
      <c r="G16" s="46"/>
      <c r="H16" s="47"/>
      <c r="I16" s="47"/>
    </row>
    <row r="17" spans="2:9" ht="13.5" customHeight="1" x14ac:dyDescent="0.3">
      <c r="B17" s="45"/>
      <c r="C17" s="45"/>
      <c r="D17" s="45"/>
      <c r="E17" s="46"/>
      <c r="F17" s="46"/>
      <c r="G17" s="46"/>
      <c r="H17" s="47"/>
      <c r="I17" s="47"/>
    </row>
    <row r="18" spans="2:9" ht="13.5" customHeight="1" x14ac:dyDescent="0.3">
      <c r="B18" s="45"/>
      <c r="C18" s="45"/>
      <c r="D18" s="45"/>
      <c r="E18" s="46"/>
      <c r="F18" s="46"/>
      <c r="G18" s="46"/>
      <c r="H18" s="47"/>
      <c r="I18" s="47"/>
    </row>
    <row r="19" spans="2:9" ht="13.5" customHeight="1" x14ac:dyDescent="0.3">
      <c r="B19" s="45"/>
      <c r="C19" s="45"/>
      <c r="D19" s="45"/>
      <c r="E19" s="46"/>
      <c r="F19" s="46"/>
      <c r="G19" s="46"/>
      <c r="H19" s="47"/>
      <c r="I19" s="47"/>
    </row>
    <row r="20" spans="2:9" ht="13.5" customHeight="1" x14ac:dyDescent="0.3">
      <c r="B20" s="45"/>
      <c r="C20" s="48" t="s">
        <v>78</v>
      </c>
      <c r="D20" s="45"/>
      <c r="E20" s="46"/>
      <c r="F20" s="49" t="s">
        <v>79</v>
      </c>
      <c r="G20" s="46"/>
      <c r="H20" s="50" t="s">
        <v>80</v>
      </c>
      <c r="I20" s="47"/>
    </row>
    <row r="21" spans="2:9" ht="13.5" customHeight="1" x14ac:dyDescent="0.3">
      <c r="B21" s="45"/>
      <c r="C21" s="45"/>
      <c r="D21" s="45"/>
      <c r="E21" s="46"/>
      <c r="F21" s="46"/>
      <c r="G21" s="46"/>
      <c r="H21" s="47"/>
      <c r="I21" s="47"/>
    </row>
    <row r="22" spans="2:9" ht="13.5" customHeight="1" x14ac:dyDescent="0.3">
      <c r="B22" s="45"/>
      <c r="C22" s="45"/>
      <c r="D22" s="45"/>
      <c r="E22" s="46"/>
      <c r="F22" s="46"/>
      <c r="G22" s="46"/>
      <c r="H22" s="47"/>
      <c r="I22" s="47"/>
    </row>
    <row r="23" spans="2:9" ht="13.5" customHeight="1" x14ac:dyDescent="0.3">
      <c r="B23" s="45"/>
      <c r="C23" s="45"/>
      <c r="D23" s="45"/>
      <c r="E23" s="46"/>
      <c r="F23" s="46"/>
      <c r="G23" s="46"/>
      <c r="H23" s="47"/>
      <c r="I23" s="47"/>
    </row>
    <row r="24" spans="2:9" ht="13.5" customHeight="1" x14ac:dyDescent="0.3">
      <c r="B24" s="45"/>
      <c r="C24" s="45"/>
      <c r="D24" s="45"/>
      <c r="E24" s="46"/>
      <c r="F24" s="46"/>
      <c r="G24" s="46"/>
      <c r="H24" s="47"/>
      <c r="I24" s="47"/>
    </row>
    <row r="25" spans="2:9" ht="13.5" customHeight="1" x14ac:dyDescent="0.3">
      <c r="B25" s="45"/>
      <c r="C25" s="45"/>
      <c r="D25" s="45"/>
      <c r="E25" s="46"/>
      <c r="F25" s="46"/>
      <c r="G25" s="46"/>
      <c r="H25" s="47"/>
      <c r="I25" s="47"/>
    </row>
    <row r="26" spans="2:9" ht="13.5" customHeight="1" x14ac:dyDescent="0.3">
      <c r="B26" s="45"/>
      <c r="C26" s="45"/>
      <c r="D26" s="45"/>
      <c r="E26" s="46"/>
      <c r="F26" s="46"/>
      <c r="G26" s="46"/>
      <c r="H26" s="47"/>
      <c r="I26" s="47"/>
    </row>
    <row r="27" spans="2:9" ht="13.5" customHeight="1" x14ac:dyDescent="0.3">
      <c r="B27" s="45"/>
      <c r="C27" s="45"/>
      <c r="D27" s="45"/>
      <c r="E27" s="46"/>
      <c r="F27" s="46"/>
      <c r="G27" s="46"/>
      <c r="H27" s="47"/>
      <c r="I27" s="47"/>
    </row>
    <row r="28" spans="2:9" ht="13.5" customHeight="1" x14ac:dyDescent="0.3">
      <c r="B28" s="45"/>
      <c r="C28" s="45"/>
      <c r="D28" s="45"/>
      <c r="E28" s="46"/>
      <c r="F28" s="46"/>
      <c r="G28" s="46"/>
      <c r="H28" s="47"/>
      <c r="I28" s="47"/>
    </row>
    <row r="29" spans="2:9" ht="13.5" customHeight="1" x14ac:dyDescent="0.3">
      <c r="B29" s="45"/>
      <c r="C29" s="45"/>
      <c r="D29" s="45"/>
      <c r="E29" s="46"/>
      <c r="F29" s="46"/>
      <c r="G29" s="46"/>
      <c r="H29" s="47"/>
      <c r="I29" s="47"/>
    </row>
    <row r="31" spans="2:9" ht="21.75" customHeight="1" x14ac:dyDescent="0.3">
      <c r="B31" s="84" t="s">
        <v>81</v>
      </c>
      <c r="C31" s="84"/>
      <c r="D31" s="84"/>
      <c r="E31" s="84"/>
      <c r="F31" s="84"/>
      <c r="G31" s="84"/>
      <c r="H31" s="84"/>
      <c r="I31" s="84"/>
    </row>
    <row r="32" spans="2:9" ht="27.75" customHeight="1" x14ac:dyDescent="0.3">
      <c r="B32" s="85" t="s">
        <v>189</v>
      </c>
      <c r="C32" s="85"/>
      <c r="D32" s="85"/>
      <c r="E32" s="85"/>
      <c r="F32" s="85"/>
      <c r="G32" s="85"/>
      <c r="H32" s="85"/>
      <c r="I32" s="85"/>
    </row>
    <row r="33" spans="2:9" ht="27.75" customHeight="1" x14ac:dyDescent="0.3">
      <c r="B33" s="86" t="s">
        <v>187</v>
      </c>
      <c r="C33" s="86"/>
      <c r="D33" s="86"/>
      <c r="E33" s="86"/>
      <c r="F33" s="86"/>
      <c r="G33" s="86"/>
      <c r="H33" s="86"/>
      <c r="I33" s="86"/>
    </row>
    <row r="34" spans="2:9" ht="27.75" customHeight="1" x14ac:dyDescent="0.3">
      <c r="B34" s="85" t="s">
        <v>188</v>
      </c>
      <c r="C34" s="85"/>
      <c r="D34" s="85"/>
      <c r="E34" s="85"/>
      <c r="F34" s="85"/>
      <c r="G34" s="85"/>
      <c r="H34" s="85"/>
      <c r="I34" s="85"/>
    </row>
  </sheetData>
  <mergeCells count="9">
    <mergeCell ref="B31:I31"/>
    <mergeCell ref="B32:I32"/>
    <mergeCell ref="B33:I33"/>
    <mergeCell ref="B34:I34"/>
    <mergeCell ref="B2:I2"/>
    <mergeCell ref="B3:I3"/>
    <mergeCell ref="B11:D11"/>
    <mergeCell ref="E11:G11"/>
    <mergeCell ref="H11:I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F6000"/>
  </sheetPr>
  <dimension ref="B1:E23"/>
  <sheetViews>
    <sheetView showGridLines="0" zoomScaleNormal="100" workbookViewId="0">
      <selection activeCell="J13" sqref="J13"/>
    </sheetView>
  </sheetViews>
  <sheetFormatPr defaultColWidth="8.6640625" defaultRowHeight="14.4" x14ac:dyDescent="0.3"/>
  <cols>
    <col min="1" max="1" width="3" customWidth="1"/>
    <col min="2" max="2" width="22" customWidth="1"/>
    <col min="3" max="3" width="20" customWidth="1"/>
    <col min="4" max="4" width="30" customWidth="1"/>
    <col min="5" max="5" width="22" customWidth="1"/>
    <col min="6" max="6" width="3" customWidth="1"/>
  </cols>
  <sheetData>
    <row r="1" spans="2:5" ht="7.5" customHeight="1" x14ac:dyDescent="0.3"/>
    <row r="2" spans="2:5" ht="36" customHeight="1" x14ac:dyDescent="0.3">
      <c r="B2" s="14" t="s">
        <v>82</v>
      </c>
      <c r="C2" s="14"/>
      <c r="D2" s="14"/>
      <c r="E2" s="14"/>
    </row>
    <row r="3" spans="2:5" ht="30" customHeight="1" x14ac:dyDescent="0.3"/>
    <row r="4" spans="2:5" x14ac:dyDescent="0.3">
      <c r="B4" s="87" t="s">
        <v>83</v>
      </c>
      <c r="C4" s="87"/>
      <c r="D4" s="87"/>
      <c r="E4" s="87"/>
    </row>
    <row r="5" spans="2:5" x14ac:dyDescent="0.3">
      <c r="B5" s="15" t="s">
        <v>84</v>
      </c>
      <c r="C5" s="15" t="s">
        <v>85</v>
      </c>
      <c r="D5" s="15" t="s">
        <v>86</v>
      </c>
      <c r="E5" s="15" t="s">
        <v>87</v>
      </c>
    </row>
    <row r="6" spans="2:5" ht="36" customHeight="1" x14ac:dyDescent="0.3">
      <c r="B6" s="51" t="s">
        <v>88</v>
      </c>
      <c r="C6" s="52" t="s">
        <v>89</v>
      </c>
      <c r="D6" s="53" t="s">
        <v>90</v>
      </c>
      <c r="E6" s="29" t="s">
        <v>91</v>
      </c>
    </row>
    <row r="7" spans="2:5" ht="36" customHeight="1" x14ac:dyDescent="0.3">
      <c r="B7" s="54" t="s">
        <v>92</v>
      </c>
      <c r="C7" s="55" t="s">
        <v>93</v>
      </c>
      <c r="D7" s="56" t="s">
        <v>94</v>
      </c>
      <c r="E7" s="57" t="s">
        <v>95</v>
      </c>
    </row>
    <row r="8" spans="2:5" ht="36" customHeight="1" x14ac:dyDescent="0.3">
      <c r="B8" s="51" t="s">
        <v>96</v>
      </c>
      <c r="C8" s="52" t="s">
        <v>97</v>
      </c>
      <c r="D8" s="53" t="s">
        <v>98</v>
      </c>
      <c r="E8" s="29" t="s">
        <v>99</v>
      </c>
    </row>
    <row r="9" spans="2:5" ht="36" customHeight="1" x14ac:dyDescent="0.3">
      <c r="B9" s="54" t="s">
        <v>100</v>
      </c>
      <c r="C9" s="55" t="s">
        <v>101</v>
      </c>
      <c r="D9" s="56" t="s">
        <v>102</v>
      </c>
      <c r="E9" s="57" t="s">
        <v>103</v>
      </c>
    </row>
    <row r="10" spans="2:5" ht="36" customHeight="1" x14ac:dyDescent="0.3">
      <c r="B10" s="51" t="s">
        <v>104</v>
      </c>
      <c r="C10" s="52" t="s">
        <v>105</v>
      </c>
      <c r="D10" s="53" t="s">
        <v>106</v>
      </c>
      <c r="E10" s="29" t="s">
        <v>107</v>
      </c>
    </row>
    <row r="11" spans="2:5" ht="36" customHeight="1" x14ac:dyDescent="0.3">
      <c r="B11" s="54" t="s">
        <v>108</v>
      </c>
      <c r="C11" s="55" t="s">
        <v>109</v>
      </c>
      <c r="D11" s="56" t="s">
        <v>110</v>
      </c>
      <c r="E11" s="57" t="s">
        <v>111</v>
      </c>
    </row>
    <row r="14" spans="2:5" ht="21.75" customHeight="1" x14ac:dyDescent="0.3">
      <c r="B14" s="84" t="s">
        <v>112</v>
      </c>
      <c r="C14" s="84"/>
      <c r="D14" s="84"/>
      <c r="E14" s="84"/>
    </row>
    <row r="15" spans="2:5" ht="30" customHeight="1" x14ac:dyDescent="0.3">
      <c r="B15" s="58" t="s">
        <v>113</v>
      </c>
      <c r="C15" s="58" t="s">
        <v>114</v>
      </c>
      <c r="D15" s="58" t="s">
        <v>115</v>
      </c>
      <c r="E15" s="59"/>
    </row>
    <row r="16" spans="2:5" ht="30" customHeight="1" x14ac:dyDescent="0.3">
      <c r="B16" s="29" t="s">
        <v>116</v>
      </c>
      <c r="C16" s="29" t="s">
        <v>117</v>
      </c>
      <c r="D16" s="29" t="s">
        <v>118</v>
      </c>
      <c r="E16" s="59"/>
    </row>
    <row r="17" spans="2:5" ht="30" customHeight="1" x14ac:dyDescent="0.3">
      <c r="B17" s="57" t="s">
        <v>119</v>
      </c>
      <c r="C17" s="57" t="s">
        <v>120</v>
      </c>
      <c r="D17" s="57" t="s">
        <v>121</v>
      </c>
      <c r="E17" s="59"/>
    </row>
    <row r="18" spans="2:5" ht="30" customHeight="1" x14ac:dyDescent="0.3">
      <c r="B18" s="29" t="s">
        <v>122</v>
      </c>
      <c r="C18" s="29" t="s">
        <v>123</v>
      </c>
      <c r="D18" s="29" t="s">
        <v>124</v>
      </c>
      <c r="E18" s="59"/>
    </row>
    <row r="19" spans="2:5" ht="30" customHeight="1" x14ac:dyDescent="0.3">
      <c r="B19" s="57" t="s">
        <v>125</v>
      </c>
      <c r="C19" s="57" t="s">
        <v>126</v>
      </c>
      <c r="D19" s="57" t="s">
        <v>127</v>
      </c>
      <c r="E19" s="59"/>
    </row>
    <row r="20" spans="2:5" ht="30" customHeight="1" x14ac:dyDescent="0.3">
      <c r="B20" s="29" t="s">
        <v>128</v>
      </c>
      <c r="C20" s="29" t="s">
        <v>129</v>
      </c>
      <c r="D20" s="29" t="s">
        <v>130</v>
      </c>
      <c r="E20" s="59"/>
    </row>
    <row r="21" spans="2:5" ht="30" customHeight="1" x14ac:dyDescent="0.3">
      <c r="B21" s="57" t="s">
        <v>131</v>
      </c>
      <c r="C21" s="57" t="s">
        <v>132</v>
      </c>
      <c r="D21" s="57" t="s">
        <v>133</v>
      </c>
      <c r="E21" s="59"/>
    </row>
    <row r="22" spans="2:5" ht="30" customHeight="1" x14ac:dyDescent="0.3">
      <c r="B22" s="29" t="s">
        <v>134</v>
      </c>
      <c r="C22" s="29" t="s">
        <v>135</v>
      </c>
      <c r="D22" s="29" t="s">
        <v>136</v>
      </c>
      <c r="E22" s="59"/>
    </row>
    <row r="23" spans="2:5" ht="30" customHeight="1" x14ac:dyDescent="0.3">
      <c r="B23" s="60" t="s">
        <v>137</v>
      </c>
      <c r="C23" s="60" t="s">
        <v>138</v>
      </c>
      <c r="D23" s="60" t="s">
        <v>139</v>
      </c>
    </row>
  </sheetData>
  <mergeCells count="3">
    <mergeCell ref="B2:E2"/>
    <mergeCell ref="B4:E4"/>
    <mergeCell ref="B14:E1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F6000"/>
  </sheetPr>
  <dimension ref="B1:E24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20" customWidth="1"/>
    <col min="3" max="3" width="16" customWidth="1"/>
    <col min="4" max="4" width="40" customWidth="1"/>
    <col min="5" max="5" width="10" customWidth="1"/>
    <col min="6" max="6" width="3" customWidth="1"/>
  </cols>
  <sheetData>
    <row r="1" spans="2:5" ht="7.5" customHeight="1" x14ac:dyDescent="0.3"/>
    <row r="2" spans="2:5" ht="36" customHeight="1" x14ac:dyDescent="0.3">
      <c r="B2" s="14" t="s">
        <v>140</v>
      </c>
      <c r="C2" s="14"/>
      <c r="D2" s="14"/>
      <c r="E2" s="14"/>
    </row>
    <row r="3" spans="2:5" ht="30" customHeight="1" x14ac:dyDescent="0.3">
      <c r="B3" s="28" t="s">
        <v>141</v>
      </c>
      <c r="C3" s="28" t="s">
        <v>142</v>
      </c>
      <c r="D3" s="28" t="s">
        <v>143</v>
      </c>
      <c r="E3" s="28" t="s">
        <v>144</v>
      </c>
    </row>
    <row r="4" spans="2:5" ht="43.5" customHeight="1" x14ac:dyDescent="0.3">
      <c r="B4" s="23" t="s">
        <v>145</v>
      </c>
      <c r="C4" s="61" t="s">
        <v>146</v>
      </c>
      <c r="D4" s="29" t="s">
        <v>147</v>
      </c>
      <c r="E4" s="62" t="s">
        <v>148</v>
      </c>
    </row>
    <row r="5" spans="2:5" ht="43.5" customHeight="1" x14ac:dyDescent="0.3">
      <c r="B5" s="25" t="s">
        <v>149</v>
      </c>
      <c r="C5" s="63" t="s">
        <v>146</v>
      </c>
      <c r="D5" s="57" t="s">
        <v>150</v>
      </c>
      <c r="E5" s="64" t="s">
        <v>148</v>
      </c>
    </row>
    <row r="6" spans="2:5" ht="43.5" customHeight="1" x14ac:dyDescent="0.3">
      <c r="B6" s="23" t="s">
        <v>151</v>
      </c>
      <c r="C6" s="61" t="s">
        <v>146</v>
      </c>
      <c r="D6" s="29" t="s">
        <v>152</v>
      </c>
      <c r="E6" s="62" t="s">
        <v>153</v>
      </c>
    </row>
    <row r="7" spans="2:5" ht="43.5" customHeight="1" x14ac:dyDescent="0.3">
      <c r="B7" s="25" t="s">
        <v>154</v>
      </c>
      <c r="C7" s="63" t="s">
        <v>155</v>
      </c>
      <c r="D7" s="57" t="s">
        <v>156</v>
      </c>
      <c r="E7" s="64" t="s">
        <v>157</v>
      </c>
    </row>
    <row r="8" spans="2:5" ht="43.5" customHeight="1" x14ac:dyDescent="0.3">
      <c r="B8" s="23" t="s">
        <v>158</v>
      </c>
      <c r="C8" s="61" t="s">
        <v>159</v>
      </c>
      <c r="D8" s="29" t="s">
        <v>160</v>
      </c>
      <c r="E8" s="62" t="s">
        <v>157</v>
      </c>
    </row>
    <row r="9" spans="2:5" ht="43.5" customHeight="1" x14ac:dyDescent="0.3">
      <c r="B9" s="65" t="s">
        <v>161</v>
      </c>
      <c r="C9" s="66" t="s">
        <v>162</v>
      </c>
      <c r="D9" s="67" t="s">
        <v>163</v>
      </c>
      <c r="E9" s="68" t="s">
        <v>164</v>
      </c>
    </row>
    <row r="10" spans="2:5" ht="25.5" customHeight="1" x14ac:dyDescent="0.3">
      <c r="B10" s="88" t="s">
        <v>165</v>
      </c>
      <c r="C10" s="88"/>
      <c r="D10" s="88"/>
      <c r="E10" s="69" t="s">
        <v>166</v>
      </c>
    </row>
    <row r="12" spans="2:5" x14ac:dyDescent="0.3">
      <c r="B12" s="87" t="s">
        <v>167</v>
      </c>
      <c r="C12" s="87"/>
      <c r="D12" s="87"/>
      <c r="E12" s="87"/>
    </row>
    <row r="13" spans="2:5" ht="21.75" customHeight="1" x14ac:dyDescent="0.3">
      <c r="B13" s="70" t="s">
        <v>168</v>
      </c>
      <c r="C13" s="70" t="s">
        <v>169</v>
      </c>
      <c r="D13" s="71" t="s">
        <v>170</v>
      </c>
      <c r="E13" s="72"/>
    </row>
    <row r="14" spans="2:5" ht="21.75" customHeight="1" x14ac:dyDescent="0.3">
      <c r="B14" s="73" t="s">
        <v>171</v>
      </c>
      <c r="C14" s="73" t="s">
        <v>172</v>
      </c>
      <c r="D14" s="74" t="s">
        <v>173</v>
      </c>
      <c r="E14" s="75"/>
    </row>
    <row r="15" spans="2:5" ht="21.75" customHeight="1" x14ac:dyDescent="0.3">
      <c r="B15" s="76" t="s">
        <v>174</v>
      </c>
      <c r="C15" s="76" t="s">
        <v>175</v>
      </c>
      <c r="D15" s="77" t="s">
        <v>176</v>
      </c>
      <c r="E15" s="78"/>
    </row>
    <row r="16" spans="2:5" ht="21.75" customHeight="1" x14ac:dyDescent="0.3">
      <c r="B16" s="79" t="s">
        <v>177</v>
      </c>
      <c r="C16" s="79" t="s">
        <v>178</v>
      </c>
      <c r="D16" s="80" t="s">
        <v>179</v>
      </c>
      <c r="E16" s="81"/>
    </row>
    <row r="18" spans="2:5" ht="24" customHeight="1" x14ac:dyDescent="0.3">
      <c r="B18" s="89" t="s">
        <v>180</v>
      </c>
      <c r="C18" s="89"/>
      <c r="D18" s="89"/>
      <c r="E18" s="89"/>
    </row>
    <row r="19" spans="2:5" ht="27.75" customHeight="1" x14ac:dyDescent="0.3">
      <c r="B19" s="8" t="s">
        <v>181</v>
      </c>
      <c r="C19" s="8"/>
      <c r="D19" s="8"/>
      <c r="E19" s="8"/>
    </row>
    <row r="20" spans="2:5" ht="27.75" customHeight="1" x14ac:dyDescent="0.3">
      <c r="B20" s="90" t="s">
        <v>182</v>
      </c>
      <c r="C20" s="90"/>
      <c r="D20" s="90"/>
      <c r="E20" s="90"/>
    </row>
    <row r="21" spans="2:5" ht="27.75" customHeight="1" x14ac:dyDescent="0.3">
      <c r="B21" s="8" t="s">
        <v>183</v>
      </c>
      <c r="C21" s="8"/>
      <c r="D21" s="8"/>
      <c r="E21" s="8"/>
    </row>
    <row r="22" spans="2:5" ht="27.75" customHeight="1" x14ac:dyDescent="0.3">
      <c r="B22" s="90" t="s">
        <v>184</v>
      </c>
      <c r="C22" s="90"/>
      <c r="D22" s="90"/>
      <c r="E22" s="90"/>
    </row>
    <row r="23" spans="2:5" ht="27.75" customHeight="1" x14ac:dyDescent="0.3">
      <c r="B23" s="8" t="s">
        <v>185</v>
      </c>
      <c r="C23" s="8"/>
      <c r="D23" s="8"/>
      <c r="E23" s="8"/>
    </row>
    <row r="24" spans="2:5" ht="27.75" customHeight="1" x14ac:dyDescent="0.3">
      <c r="B24" s="91" t="s">
        <v>186</v>
      </c>
      <c r="C24" s="91"/>
      <c r="D24" s="91"/>
      <c r="E24" s="91"/>
    </row>
  </sheetData>
  <mergeCells count="10">
    <mergeCell ref="B20:E20"/>
    <mergeCell ref="B21:E21"/>
    <mergeCell ref="B22:E22"/>
    <mergeCell ref="B23:E23"/>
    <mergeCell ref="B24:E24"/>
    <mergeCell ref="B2:E2"/>
    <mergeCell ref="B10:D10"/>
    <mergeCell ref="B12:E12"/>
    <mergeCell ref="B18:E18"/>
    <mergeCell ref="B19:E1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Source</vt:lpstr>
      <vt:lpstr>Chart Workshop</vt:lpstr>
      <vt:lpstr>Dashboard (Your Work)</vt:lpstr>
      <vt:lpstr>Concept Notes</vt:lpstr>
      <vt:lpstr>Scoring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Deepanshu Garg</cp:lastModifiedBy>
  <cp:revision>1</cp:revision>
  <dcterms:created xsi:type="dcterms:W3CDTF">2026-04-02T05:53:00Z</dcterms:created>
  <dcterms:modified xsi:type="dcterms:W3CDTF">2026-04-02T06:17:22Z</dcterms:modified>
  <dc:language>en-US</dc:language>
</cp:coreProperties>
</file>