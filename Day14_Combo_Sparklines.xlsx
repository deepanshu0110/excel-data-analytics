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30c6ebe1e7ac33e/Desktop/Excel/"/>
    </mc:Choice>
  </mc:AlternateContent>
  <xr:revisionPtr revIDLastSave="11" documentId="11_0020F2B20BECA74AE61653AFE4EA905C8CE8ACD7" xr6:coauthVersionLast="47" xr6:coauthVersionMax="47" xr10:uidLastSave="{0389DA17-7E99-43F3-B7D6-21B988C9E744}"/>
  <bookViews>
    <workbookView xWindow="-108" yWindow="-108" windowWidth="23256" windowHeight="12456" tabRatio="500" activeTab="3" xr2:uid="{00000000-000D-0000-FFFF-FFFF00000000}"/>
  </bookViews>
  <sheets>
    <sheet name="Data Source" sheetId="1" r:id="rId1"/>
    <sheet name="Combo Chart Workshop" sheetId="2" r:id="rId2"/>
    <sheet name="Sparkline Workshop" sheetId="3" r:id="rId3"/>
    <sheet name="Practice Dashboard" sheetId="4" r:id="rId4"/>
    <sheet name="Concept Notes" sheetId="5" r:id="rId5"/>
    <sheet name="Scoring Guide" sheetId="6" r:id="rId6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3" i="3" l="1"/>
  <c r="G23" i="3"/>
  <c r="F23" i="3"/>
  <c r="E23" i="3"/>
  <c r="D23" i="3"/>
  <c r="C23" i="3"/>
  <c r="G19" i="1"/>
  <c r="E19" i="1"/>
  <c r="F19" i="1" s="1"/>
  <c r="D19" i="1"/>
  <c r="C19" i="1"/>
  <c r="H18" i="1"/>
  <c r="E18" i="1"/>
  <c r="F18" i="1" s="1"/>
  <c r="H17" i="1"/>
  <c r="E17" i="1"/>
  <c r="F17" i="1" s="1"/>
  <c r="H16" i="1"/>
  <c r="E16" i="1"/>
  <c r="F16" i="1" s="1"/>
  <c r="H15" i="1"/>
  <c r="E15" i="1"/>
  <c r="F15" i="1" s="1"/>
  <c r="H14" i="1"/>
  <c r="E14" i="1"/>
  <c r="F14" i="1" s="1"/>
  <c r="H13" i="1"/>
  <c r="E13" i="1"/>
  <c r="F13" i="1" s="1"/>
  <c r="H12" i="1"/>
  <c r="E12" i="1"/>
  <c r="F12" i="1" s="1"/>
  <c r="H11" i="1"/>
  <c r="E11" i="1"/>
  <c r="F11" i="1" s="1"/>
  <c r="H10" i="1"/>
  <c r="E10" i="1"/>
  <c r="F10" i="1" s="1"/>
  <c r="H9" i="1"/>
  <c r="E9" i="1"/>
  <c r="F9" i="1" s="1"/>
  <c r="H8" i="1"/>
  <c r="E8" i="1"/>
  <c r="F8" i="1" s="1"/>
  <c r="H7" i="1"/>
  <c r="E7" i="1"/>
  <c r="F7" i="1" s="1"/>
</calcChain>
</file>

<file path=xl/sharedStrings.xml><?xml version="1.0" encoding="utf-8"?>
<sst xmlns="http://schemas.openxmlformats.org/spreadsheetml/2006/main" count="257" uniqueCount="204">
  <si>
    <t>DAY 14 — COMBO CHARTS &amp; SPARKLINES  |  Data Source</t>
  </si>
  <si>
    <t>FY 2024-25 Monthly Sales Performance — Used for Combo Chart and Sparkline exercises</t>
  </si>
  <si>
    <t>TABLE 1 — Monthly Revenue, Cost &amp; Profit Margin  (Source for Combo Chart)</t>
  </si>
  <si>
    <t>Month</t>
  </si>
  <si>
    <t>Revenue (₹)</t>
  </si>
  <si>
    <t>Total Cost (₹)</t>
  </si>
  <si>
    <t>Gross Profit (₹)</t>
  </si>
  <si>
    <t>Margin %</t>
  </si>
  <si>
    <t>Units Sold</t>
  </si>
  <si>
    <t>Avg Order (₹)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</si>
  <si>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</si>
  <si>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</si>
  <si>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</si>
  <si>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</si>
  <si>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</si>
  <si>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</si>
  <si>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</si>
  <si>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</si>
  <si>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</si>
  <si>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</si>
  <si>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</si>
  <si>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</si>
  <si>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FY TOTAL / AVG</t>
  </si>
  <si>
    <t>TABLE 2 — Sales Rep Monthly Performance (Source for Sparklines)</t>
  </si>
  <si>
    <t>Sales Rep</t>
  </si>
  <si>
    <t>Apr</t>
  </si>
  <si>
    <t>May</t>
  </si>
  <si>
    <t>Jun</t>
  </si>
  <si>
    <t>Jul</t>
  </si>
  <si>
    <t>Aug</t>
  </si>
  <si>
    <t>Sep</t>
  </si>
  <si>
    <t>Arjun Mehta</t>
  </si>
  <si>
    <t>Priya Nair</t>
  </si>
  <si>
    <t>Rohan Verma</t>
  </si>
  <si>
    <t>Sneha Iyer</t>
  </si>
  <si>
    <t>Vikram Das</t>
  </si>
  <si>
    <t>Anita Joshi</t>
  </si>
  <si>
    <t>Karan Singh</t>
  </si>
  <si>
    <t>Meera Pillai</t>
  </si>
  <si>
    <t>DAY 14 — COMBO CHART WORKSHOP  |  Revenue (Bar) + Margin % (Line)</t>
  </si>
  <si>
    <t>A Combo Chart puts TWO metrics on the same chart using a secondary Y-axis — one of the most-used charts in client dashboards</t>
  </si>
  <si>
    <t>WHY COMBO CHARTS?</t>
  </si>
  <si>
    <t>Problem</t>
  </si>
  <si>
    <t>Revenue = ₹8,35,000   Margin % = 30.8%   — completely different scales. You can't plot them on the same Y-axis.</t>
  </si>
  <si>
    <t>Solution</t>
  </si>
  <si>
    <t>Combo chart: Revenue as Bars on the LEFT Y-axis (₹). Margin % as Line on the RIGHT Y-axis (%).</t>
  </si>
  <si>
    <t>Business use</t>
  </si>
  <si>
    <t>Client asks: 'Are we growing revenue AND keeping margins healthy?' — one chart answers both questions at once.</t>
  </si>
  <si>
    <t>Rule</t>
  </si>
  <si>
    <t>Only combine TWO metrics. Three metrics on one chart = confusion. Use a separate chart for the third.</t>
  </si>
  <si>
    <t>COMBO CHART DATA — Q2 FY25: Revenue vs Margin % (6 months)</t>
  </si>
  <si>
    <t>HOW TO BUILD A COMBO CHART — Step by Step</t>
  </si>
  <si>
    <t>Step 1</t>
  </si>
  <si>
    <t>Select Month + Revenue + Margin % (3 columns, headers + 6 rows) → Insert → Column Chart</t>
  </si>
  <si>
    <t>Step 2</t>
  </si>
  <si>
    <t>You now have TWO bar series — Revenue and Margin %. Right-click the Margin % bars → 'Change Series Chart Type'</t>
  </si>
  <si>
    <t>Step 3</t>
  </si>
  <si>
    <t>In the dialog: set Revenue = Clustered Column, set Margin % = Line WITH MARKERS</t>
  </si>
  <si>
    <t>Step 4</t>
  </si>
  <si>
    <t>CRITICAL: Check the 'Secondary Axis' box next to Margin %. This creates the right Y-axis for %</t>
  </si>
  <si>
    <t>Step 5</t>
  </si>
  <si>
    <t>Click OK. You now have bars (₹) on left axis and line (%) on right axis</t>
  </si>
  <si>
    <t>Step 6</t>
  </si>
  <si>
    <t>Format the line: right-click → Format Data Series → Line color = orange or red, Width = 2pt</t>
  </si>
  <si>
    <t>Step 7</t>
  </si>
  <si>
    <t>Add axis titles: Chart Design → Add Chart Element → Axis Titles → Primary Vertical + Secondary Vertical</t>
  </si>
  <si>
    <t>COMMON MISTAKE</t>
  </si>
  <si>
    <t>Forgetting to tick 'Secondary Axis' — both series end up on the same scale and the margin line flatlines near zero</t>
  </si>
  <si>
    <t>BUSINESS READ</t>
  </si>
  <si>
    <t>Apr–Sep: Revenue rose ₹8.35L → ₹9.38L (+12.3%). Margin rose 30.8% → 33.4%. Both up = healthy growth story.</t>
  </si>
  <si>
    <t>DAY 14 — SPARKLINE WORKSHOP  |  In-Cell Mini Charts for Tables</t>
  </si>
  <si>
    <t>Sparklines are tiny charts that live inside a single cell. They show trends without taking up chart space — perfect for tables.</t>
  </si>
  <si>
    <t>WHAT ARE SPARKLINES?</t>
  </si>
  <si>
    <t>Type</t>
  </si>
  <si>
    <t>Line</t>
  </si>
  <si>
    <t>Shows trend direction. Are sales going up or down?</t>
  </si>
  <si>
    <t>Column</t>
  </si>
  <si>
    <t>Shows relative size each month. Which month was highest?</t>
  </si>
  <si>
    <t>Win/Loss</t>
  </si>
  <si>
    <t>Shows positive vs negative. Profit (win) or loss?</t>
  </si>
  <si>
    <t>Best use</t>
  </si>
  <si>
    <t>Tables</t>
  </si>
  <si>
    <t>Add a Trend column to any table — instant visual without a full chart</t>
  </si>
  <si>
    <t>Key rule</t>
  </si>
  <si>
    <t>Same range</t>
  </si>
  <si>
    <t>All sparklines in a group use the same scale for fair comparison</t>
  </si>
  <si>
    <t>One cell each</t>
  </si>
  <si>
    <t>Each sparkline goes in exactly ONE cell — you select the cell, then the data range</t>
  </si>
  <si>
    <t>SALES REP TABLE — Add Sparklines in Columns I and J (your task)</t>
  </si>
  <si>
    <t>Trend (Line Sparkline)</t>
  </si>
  <si>
    <t>Best Month (Column Sparkline)</t>
  </si>
  <si>
    <t>TEAM TOTAL</t>
  </si>
  <si>
    <t>HOW TO INSERT SPARKLINES — Step by Step</t>
  </si>
  <si>
    <t>Click on cell I15 (the Trend sparkline cell for Arjun Mehta — first blank sparkline cell)</t>
  </si>
  <si>
    <t>Go to Insert → Sparklines → Line (first option)</t>
  </si>
  <si>
    <t>In 'Data Range' box: select C15:H15 (Arjun's 6 months of data). Location Range = I15. Click OK.</t>
  </si>
  <si>
    <t>You should see a tiny line chart inside I15. Now select I15:I22 and Excel auto-fills the rest.</t>
  </si>
  <si>
    <t>For Column sparklines: click J15 → Insert → Sparklines → Column → select C15:H15 → OK → fill down</t>
  </si>
  <si>
    <t>Format sparklines: with I15:I22 selected → Sparkline tab → check 'High Point' + 'Low Point' markers</t>
  </si>
  <si>
    <t>Change sparkline color: Sparkline tab → Sparkline Color → pick dark blue for trend lines</t>
  </si>
  <si>
    <t>GROUPING TIP</t>
  </si>
  <si>
    <t>Keep all sparklines in the same group (select all → Sparkline tab → Group). Same scale = fair comparison.</t>
  </si>
  <si>
    <t>Karan Singh shows the steepest upward line — fastest growing rep. Anita Joshi shows a downward or flat trend — needs coaching.</t>
  </si>
  <si>
    <t>DAY 14 — PRACTICE DASHBOARD  |  Combo Chart + Sparkline Table</t>
  </si>
  <si>
    <t>Task 1: Build a Combo Chart (Revenue + Margin %)  |  Task 2: Add Sparklines to the Rep table below</t>
  </si>
  <si>
    <t>TASK 1 — Build a Combo Chart: Revenue (Bars) + Margin % (Line) | Source: Data Source sheet, Table 1</t>
  </si>
  <si>
    <t>← Insert your Combo Chart here (Revenue bars + Margin % line)</t>
  </si>
  <si>
    <t>TASK 2 — Add Line Sparklines (col I) and Column Sparklines (col J) to this Sales Rep table</t>
  </si>
  <si>
    <t>Trend (Line)</t>
  </si>
  <si>
    <t>Best Month (Column)</t>
  </si>
  <si>
    <t>INSIGHTS — After building both chart types, write 3 business observations here</t>
  </si>
  <si>
    <t>DAY 14 — CONCEPT NOTES  |  Combo Charts &amp; Sparklines Reference</t>
  </si>
  <si>
    <t>CHOOSING THE RIGHT VISUAL — Chart vs Sparkline vs Combo</t>
  </si>
  <si>
    <t>Visual</t>
  </si>
  <si>
    <t>Use When</t>
  </si>
  <si>
    <t>Avoid When</t>
  </si>
  <si>
    <t>Real Example</t>
  </si>
  <si>
    <t>Regular Bar/Line/Pie</t>
  </si>
  <si>
    <t>One focused question. Single metric or 2-3 categories. Full chart presentation.</t>
  </si>
  <si>
    <t>Inside a dense table — takes too much space</t>
  </si>
  <si>
    <t>Monthly revenue by region on a dashboard</t>
  </si>
  <si>
    <t>Sparkline (Line)</t>
  </si>
  <si>
    <t>Showing trend direction inside a table row. Space is limited.</t>
  </si>
  <si>
    <t>When actual values matter — sparklines hide the numbers</t>
  </si>
  <si>
    <t>Sales rep trend column next to their monthly numbers</t>
  </si>
  <si>
    <t>Sparkline (Column)</t>
  </si>
  <si>
    <t>Showing which period was highest/lowest inside a table row.</t>
  </si>
  <si>
    <t>When you need to compare ACROSS rows — group them</t>
  </si>
  <si>
    <t>Best month highlighted for each rep in the table</t>
  </si>
  <si>
    <t>Combo Chart</t>
  </si>
  <si>
    <t>Two metrics on the same time axis with different units/scales.</t>
  </si>
  <si>
    <t>Three+ metrics — too cluttered. Use two separate charts.</t>
  </si>
  <si>
    <t>Revenue (₹) bars + Margin % line — same 12 months</t>
  </si>
  <si>
    <t>Stacked Bar</t>
  </si>
  <si>
    <t>Part-to-whole AND total comparison across categories.</t>
  </si>
  <si>
    <t>When individual segment comparison is primary focus</t>
  </si>
  <si>
    <t>Regional revenue contribution to national total</t>
  </si>
  <si>
    <t>COMMON MISTAKES → FIXES</t>
  </si>
  <si>
    <t>MISTAKE</t>
  </si>
  <si>
    <t>WHY IT FAILS</t>
  </si>
  <si>
    <t>FIX</t>
  </si>
  <si>
    <t>No secondary axis on Combo Chart</t>
  </si>
  <si>
    <t>Margin % (e.g. 32%) plotted against ₹8,35,000 scale — line flatlines at zero, invisible</t>
  </si>
  <si>
    <t>Right-click Margin series → Format → tick Secondary Axis</t>
  </si>
  <si>
    <t>All sparklines on different scales</t>
  </si>
  <si>
    <t>Rep A: ₹22K–₹24K, Rep B: ₹61K–₹85K — Rep A's line looks flat even with growth</t>
  </si>
  <si>
    <t>Select all sparklines → Sparkline tab → Axis → Same for all sparklines (min + max)</t>
  </si>
  <si>
    <t>Sparkline in merged cell</t>
  </si>
  <si>
    <t>Sparklines can't be inserted into merged cells — Excel throws an error</t>
  </si>
  <si>
    <t>Unmerge the target cell before inserting sparkline</t>
  </si>
  <si>
    <t>Combo chart with 3 series</t>
  </si>
  <si>
    <t>Three metrics on dual axis = legend confusion, overlapping lines, unreadable</t>
  </si>
  <si>
    <t>Two metrics max per combo chart. Third metric → separate chart or KPI card</t>
  </si>
  <si>
    <t>DAY 14 SCORING GUIDE  |  Total: 50 Points</t>
  </si>
  <si>
    <t>Task</t>
  </si>
  <si>
    <t>Skill</t>
  </si>
  <si>
    <t>Success Criteria</t>
  </si>
  <si>
    <t>Pts</t>
  </si>
  <si>
    <t>Combo Chart built</t>
  </si>
  <si>
    <t>Chart creation</t>
  </si>
  <si>
    <t>Combo chart on Practice Dashboard. Revenue = Clustered Column bars. Margin % = Line. Two Y-axes present (left = ₹, right = %).</t>
  </si>
  <si>
    <t>18</t>
  </si>
  <si>
    <t>Combo Chart formatted</t>
  </si>
  <si>
    <t>Design</t>
  </si>
  <si>
    <t>Chart title present (descriptive, not 'Chart 1'). Axis titles on both Y-axes. No 3D. Legend shows both series correctly.</t>
  </si>
  <si>
    <t>8</t>
  </si>
  <si>
    <t>Line Sparklines (col I)</t>
  </si>
  <si>
    <t>Sparklines</t>
  </si>
  <si>
    <t>Line sparklines inserted for all 8 reps. High and low point markers visible. Same scale across all sparklines.</t>
  </si>
  <si>
    <t>10</t>
  </si>
  <si>
    <t>Column Sparklines (col J)</t>
  </si>
  <si>
    <t>Column sparklines inserted for all 8 reps. Shows which month was highest for each rep.</t>
  </si>
  <si>
    <t>3 Business Insights</t>
  </si>
  <si>
    <t>Communication</t>
  </si>
  <si>
    <t>3 insights written in the insight box. Each references a specific rep name or month. Insight 3 includes an action/recommendation.</t>
  </si>
  <si>
    <t>6</t>
  </si>
  <si>
    <t>BONUS: Sparkline colour</t>
  </si>
  <si>
    <t>Polish</t>
  </si>
  <si>
    <t>Sparkline color changed from default grey to a visible colour (dark blue/green). High point marker in a contrasting colour.</t>
  </si>
  <si>
    <t>+3 Bonus</t>
  </si>
  <si>
    <t>TOTAL (excl. bonus)</t>
  </si>
  <si>
    <t>50</t>
  </si>
  <si>
    <t>GRADING BANDS</t>
  </si>
  <si>
    <t>46–50+</t>
  </si>
  <si>
    <t>Distinction</t>
  </si>
  <si>
    <t>Ready for Day 15 — Pivot Charts + Slicers.</t>
  </si>
  <si>
    <t>38–45</t>
  </si>
  <si>
    <t>Pass</t>
  </si>
  <si>
    <t>Combo chart good. Review sparkline scale grouping.</t>
  </si>
  <si>
    <t>28–37</t>
  </si>
  <si>
    <t>Needs Work</t>
  </si>
  <si>
    <t>Redo secondary axis step. Resubmit before Day 15.</t>
  </si>
  <si>
    <t>0–27</t>
  </si>
  <si>
    <t>Re-attempt</t>
  </si>
  <si>
    <t>Re-read Combo Chart Workshop + Sparkline steps fully.</t>
  </si>
  <si>
    <t>KEY TAKEAWAYS — DAY 14</t>
  </si>
  <si>
    <t>1. Combo chart = two metrics, two scales, one chart. The secondary axis is the most important step — never skip it.</t>
  </si>
  <si>
    <t>2. Sparklines answer 'is this going up or down?' in a table without adding a full chart. Clients love them in reports.</t>
  </si>
  <si>
    <t>3. Group all sparklines in a column — same scale makes comparison honest. Different scales = misleading visuals.</t>
  </si>
  <si>
    <t>4. Revenue going up + margin going up = growth story. Revenue going up + margin going down = efficiency problem. The combo chart shows this instantly.</t>
  </si>
  <si>
    <t>5. Sparkline + KPI card + one full chart is the standard layout for a one-page executive summary in Excel.</t>
  </si>
  <si>
    <t>INTERVIEW: 'How would you show a client both revenue and profit margin on one chart?' → Combo chart with secondary axis. 10 seconds to explain, instantly impressive.</t>
  </si>
  <si>
    <t>Karan Singh shows the steepest upward line — fastest growing rep.</t>
  </si>
  <si>
    <t>August was standout month for business as combo chart shows simultaneous peak in bith Revenue and Profit Margin(32.5%)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</si>
</sst>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8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1A5C2A"/>
      <name val="Arial"/>
      <charset val="1"/>
    </font>
    <font>
      <b/>
      <sz val="10"/>
      <color rgb="FF0D5E5E"/>
      <name val="Arial"/>
      <charset val="1"/>
    </font>
    <font>
      <sz val="9"/>
      <color rgb="FF000000"/>
      <name val="Arial"/>
      <charset val="1"/>
    </font>
    <font>
      <i/>
      <sz val="9"/>
      <color rgb="FF000000"/>
      <name val="Arial"/>
      <charset val="1"/>
    </font>
    <font>
      <b/>
      <sz val="9"/>
      <color rgb="FF0D5E5E"/>
      <name val="Arial"/>
      <charset val="1"/>
    </font>
    <font>
      <sz val="9"/>
      <color rgb="FF0D5E5E"/>
      <name val="Arial"/>
      <charset val="1"/>
    </font>
    <font>
      <b/>
      <sz val="9"/>
      <color rgb="FFC00000"/>
      <name val="Arial"/>
      <charset val="1"/>
    </font>
    <font>
      <b/>
      <sz val="9"/>
      <color rgb="FF7F6000"/>
      <name val="Arial"/>
      <charset val="1"/>
    </font>
    <font>
      <b/>
      <i/>
      <sz val="9"/>
      <color rgb="FF7F6000"/>
      <name val="Arial"/>
      <charset val="1"/>
    </font>
    <font>
      <b/>
      <sz val="9"/>
      <color rgb="FF1F3864"/>
      <name val="Arial"/>
      <charset val="1"/>
    </font>
    <font>
      <i/>
      <sz val="8"/>
      <color rgb="FFAAAAAA"/>
      <name val="Arial"/>
      <charset val="1"/>
    </font>
    <font>
      <b/>
      <sz val="9"/>
      <color rgb="FF3D1265"/>
      <name val="Arial"/>
      <charset val="1"/>
    </font>
    <font>
      <b/>
      <sz val="14"/>
      <color rgb="FFFFFFFF"/>
      <name val="Arial"/>
      <charset val="1"/>
    </font>
    <font>
      <i/>
      <sz val="10"/>
      <color rgb="FF843C0C"/>
      <name val="Arial"/>
      <charset val="1"/>
    </font>
    <font>
      <i/>
      <sz val="8"/>
      <color rgb="FF999999"/>
      <name val="Arial"/>
      <charset val="1"/>
    </font>
    <font>
      <i/>
      <sz val="10"/>
      <color rgb="FF777777"/>
      <name val="Arial"/>
      <charset val="1"/>
    </font>
    <font>
      <b/>
      <sz val="10"/>
      <color rgb="FF1F3864"/>
      <name val="Arial"/>
      <charset val="1"/>
    </font>
    <font>
      <sz val="9"/>
      <color rgb="FF1A5C2A"/>
      <name val="Arial"/>
      <charset val="1"/>
    </font>
    <font>
      <i/>
      <sz val="9"/>
      <color rgb="FFC00000"/>
      <name val="Arial"/>
      <charset val="1"/>
    </font>
    <font>
      <sz val="9"/>
      <color rgb="FFC00000"/>
      <name val="Arial"/>
      <charset val="1"/>
    </font>
    <font>
      <b/>
      <sz val="10"/>
      <color rgb="FF2E5EAA"/>
      <name val="Arial"/>
      <charset val="1"/>
    </font>
    <font>
      <b/>
      <sz val="11"/>
      <color rgb="FF1A5C2A"/>
      <name val="Arial"/>
      <charset val="1"/>
    </font>
    <font>
      <b/>
      <sz val="10"/>
      <color rgb="FF7F6000"/>
      <name val="Arial"/>
      <charset val="1"/>
    </font>
    <font>
      <sz val="9"/>
      <color rgb="FF7F6000"/>
      <name val="Arial"/>
      <charset val="1"/>
    </font>
    <font>
      <b/>
      <sz val="11"/>
      <color rgb="FF7F6000"/>
      <name val="Arial"/>
      <charset val="1"/>
    </font>
    <font>
      <b/>
      <sz val="11"/>
      <color rgb="FFFFFFFF"/>
      <name val="Arial"/>
      <charset val="1"/>
    </font>
    <font>
      <sz val="10"/>
      <color rgb="FF1A5C2A"/>
      <name val="Arial"/>
      <charset val="1"/>
    </font>
    <font>
      <sz val="10"/>
      <color rgb="FF2E5EAA"/>
      <name val="Arial"/>
      <charset val="1"/>
    </font>
    <font>
      <b/>
      <sz val="10"/>
      <color rgb="FF843C0C"/>
      <name val="Arial"/>
      <charset val="1"/>
    </font>
    <font>
      <sz val="10"/>
      <color rgb="FF843C0C"/>
      <name val="Arial"/>
      <charset val="1"/>
    </font>
    <font>
      <b/>
      <sz val="10"/>
      <color rgb="FFC00000"/>
      <name val="Arial"/>
      <charset val="1"/>
    </font>
    <font>
      <sz val="10"/>
      <color rgb="FFC00000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EAA"/>
        <bgColor rgb="FF0D5E5E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0D5E5E"/>
        <bgColor rgb="FF1A5C2A"/>
      </patternFill>
    </fill>
    <fill>
      <patternFill patternType="solid">
        <fgColor rgb="FFD9F0F0"/>
        <bgColor rgb="FFD9E8F5"/>
      </patternFill>
    </fill>
    <fill>
      <patternFill patternType="solid">
        <fgColor rgb="FF843C0C"/>
        <bgColor rgb="FF7F6000"/>
      </patternFill>
    </fill>
    <fill>
      <patternFill patternType="solid">
        <fgColor rgb="FFFFE0E0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D9E8F5"/>
        <bgColor rgb="FFD9F0F0"/>
      </patternFill>
    </fill>
    <fill>
      <patternFill patternType="solid">
        <fgColor rgb="FFEAE0F5"/>
        <bgColor rgb="FFD9E8F5"/>
      </patternFill>
    </fill>
    <fill>
      <patternFill patternType="solid">
        <fgColor rgb="FFFCE4D6"/>
        <bgColor rgb="FFFFE0E0"/>
      </patternFill>
    </fill>
    <fill>
      <patternFill patternType="solid">
        <fgColor rgb="FF1A5C2A"/>
        <bgColor rgb="FF375623"/>
      </patternFill>
    </fill>
    <fill>
      <patternFill patternType="solid">
        <fgColor rgb="FFE2EFDA"/>
        <bgColor rgb="FFD9F0F0"/>
      </patternFill>
    </fill>
    <fill>
      <patternFill patternType="solid">
        <fgColor rgb="FFC00000"/>
        <bgColor rgb="FF800000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8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right" vertical="center"/>
    </xf>
    <xf numFmtId="3" fontId="6" fillId="4" borderId="1" xfId="0" applyNumberFormat="1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right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0" fillId="13" borderId="0" xfId="0" applyFill="1"/>
    <xf numFmtId="0" fontId="19" fillId="1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left" vertical="center"/>
    </xf>
    <xf numFmtId="0" fontId="23" fillId="4" borderId="1" xfId="0" applyFont="1" applyFill="1" applyBorder="1" applyAlignment="1">
      <alignment horizontal="left" vertical="center" wrapText="1"/>
    </xf>
    <xf numFmtId="0" fontId="24" fillId="4" borderId="1" xfId="0" applyFont="1" applyFill="1" applyBorder="1" applyAlignment="1">
      <alignment horizontal="left" vertical="center" wrapText="1"/>
    </xf>
    <xf numFmtId="0" fontId="22" fillId="5" borderId="1" xfId="0" applyFont="1" applyFill="1" applyBorder="1" applyAlignment="1">
      <alignment horizontal="left" vertical="center"/>
    </xf>
    <xf numFmtId="0" fontId="23" fillId="5" borderId="1" xfId="0" applyFont="1" applyFill="1" applyBorder="1" applyAlignment="1">
      <alignment horizontal="left" vertical="center" wrapText="1"/>
    </xf>
    <xf numFmtId="0" fontId="24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0" fillId="0" borderId="1" xfId="0" applyBorder="1"/>
    <xf numFmtId="0" fontId="25" fillId="9" borderId="1" xfId="0" applyFont="1" applyFill="1" applyBorder="1" applyAlignment="1">
      <alignment horizontal="left" vertical="center" wrapText="1"/>
    </xf>
    <xf numFmtId="0" fontId="25" fillId="9" borderId="0" xfId="0" applyFont="1" applyFill="1" applyAlignment="1">
      <alignment horizontal="left" vertical="center" wrapText="1"/>
    </xf>
    <xf numFmtId="0" fontId="26" fillId="4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28" fillId="10" borderId="1" xfId="0" applyFont="1" applyFill="1" applyBorder="1" applyAlignment="1">
      <alignment horizontal="left" vertical="center"/>
    </xf>
    <xf numFmtId="0" fontId="26" fillId="10" borderId="1" xfId="0" applyFont="1" applyFill="1" applyBorder="1" applyAlignment="1">
      <alignment horizontal="center" vertical="center"/>
    </xf>
    <xf numFmtId="0" fontId="29" fillId="10" borderId="1" xfId="0" applyFont="1" applyFill="1" applyBorder="1" applyAlignment="1">
      <alignment horizontal="left" vertical="center" wrapText="1"/>
    </xf>
    <xf numFmtId="0" fontId="30" fillId="10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32" fillId="15" borderId="1" xfId="0" applyFont="1" applyFill="1" applyBorder="1" applyAlignment="1">
      <alignment horizontal="left" vertical="center"/>
    </xf>
    <xf numFmtId="0" fontId="0" fillId="15" borderId="1" xfId="0" applyFill="1" applyBorder="1"/>
    <xf numFmtId="0" fontId="26" fillId="11" borderId="1" xfId="0" applyFont="1" applyFill="1" applyBorder="1" applyAlignment="1">
      <alignment horizontal="center" vertical="center"/>
    </xf>
    <xf numFmtId="0" fontId="33" fillId="11" borderId="1" xfId="0" applyFont="1" applyFill="1" applyBorder="1" applyAlignment="1">
      <alignment horizontal="left" vertical="center"/>
    </xf>
    <xf numFmtId="0" fontId="0" fillId="11" borderId="1" xfId="0" applyFill="1" applyBorder="1"/>
    <xf numFmtId="0" fontId="34" fillId="13" borderId="1" xfId="0" applyFont="1" applyFill="1" applyBorder="1" applyAlignment="1">
      <alignment horizontal="center" vertical="center"/>
    </xf>
    <xf numFmtId="0" fontId="35" fillId="13" borderId="1" xfId="0" applyFont="1" applyFill="1" applyBorder="1" applyAlignment="1">
      <alignment horizontal="left" vertical="center"/>
    </xf>
    <xf numFmtId="0" fontId="0" fillId="13" borderId="1" xfId="0" applyFill="1" applyBorder="1"/>
    <xf numFmtId="0" fontId="36" fillId="9" borderId="1" xfId="0" applyFont="1" applyFill="1" applyBorder="1" applyAlignment="1">
      <alignment horizontal="center" vertical="center"/>
    </xf>
    <xf numFmtId="0" fontId="37" fillId="9" borderId="1" xfId="0" applyFont="1" applyFill="1" applyBorder="1" applyAlignment="1">
      <alignment horizontal="left" vertical="center"/>
    </xf>
    <xf numFmtId="0" fontId="0" fillId="9" borderId="1" xfId="0" applyFill="1" applyBorder="1"/>
    <xf numFmtId="0" fontId="21" fillId="15" borderId="1" xfId="0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left" vertical="center" wrapText="1"/>
    </xf>
    <xf numFmtId="0" fontId="18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17" fillId="12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right" vertical="center"/>
    </xf>
    <xf numFmtId="0" fontId="3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A5C2A"/>
      <rgbColor rgb="FF000080"/>
      <rgbColor rgb="FF7F6000"/>
      <rgbColor rgb="FF800080"/>
      <rgbColor rgb="FF0D5E5E"/>
      <rgbColor rgb="FFBBBBBB"/>
      <rgbColor rgb="FF878787"/>
      <rgbColor rgb="FFAAAAAA"/>
      <rgbColor rgb="FFBE4B48"/>
      <rgbColor rgb="FFFFF2CC"/>
      <rgbColor rgb="FFD9F0F0"/>
      <rgbColor rgb="FF3D1265"/>
      <rgbColor rgb="FFFF8080"/>
      <rgbColor rgb="FF2E5EA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8F5"/>
      <rgbColor rgb="FFE2EFDA"/>
      <rgbColor rgb="FFF2F2F2"/>
      <rgbColor rgb="FFEAE0F5"/>
      <rgbColor rgb="FFFFE0E0"/>
      <rgbColor rgb="FFF9F9F9"/>
      <rgbColor rgb="FFFCE4D6"/>
      <rgbColor rgb="FF4F81BD"/>
      <rgbColor rgb="FF33CCCC"/>
      <rgbColor rgb="FF99CC00"/>
      <rgbColor rgb="FFFFCC00"/>
      <rgbColor rgb="FFFF9900"/>
      <rgbColor rgb="FFFF6600"/>
      <rgbColor rgb="FF777777"/>
      <rgbColor rgb="FF999999"/>
      <rgbColor rgb="FF1F3864"/>
      <rgbColor rgb="FF339966"/>
      <rgbColor rgb="FF003300"/>
      <rgbColor rgb="FF333300"/>
      <rgbColor rgb="FF843C0C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Revenue vs Profit Margin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 Workshop'!$C$12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'Combo Chart Workshop'!$B$13:$B$18</c:f>
              <c:strCache>
                <c:ptCount val="6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</c:strCache>
            </c:strRef>
          </c:cat>
          <c:val>
            <c:numRef>
              <c:f>'Combo Chart Workshop'!$C$13:$C$18</c:f>
              <c:numCache>
                <c:formatCode>#,##0</c:formatCode>
                <c:ptCount val="6"/>
                <c:pt idx="0">
                  <c:v>835000</c:v>
                </c:pt>
                <c:pt idx="1">
                  <c:v>870000</c:v>
                </c:pt>
                <c:pt idx="2">
                  <c:v>833000</c:v>
                </c:pt>
                <c:pt idx="3">
                  <c:v>940000</c:v>
                </c:pt>
                <c:pt idx="4">
                  <c:v>958000</c:v>
                </c:pt>
                <c:pt idx="5">
                  <c:v>938000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CA-43C9-857C-194C5B212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034724"/>
        <c:axId val="17184610"/>
      </c:barChart>
      <c:lineChart>
        <c:grouping val="standard"/>
        <c:varyColors val="0"/>
        <c:ser>
          <c:idx val="1"/>
          <c:order val="1"/>
          <c:tx>
            <c:strRef>
              <c:f>'Combo Chart Workshop'!$D$12</c:f>
              <c:strCache>
                <c:ptCount val="1"/>
                <c:pt idx="0">
                  <c:v>Margin %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'Combo Chart Workshop'!$B$13:$B$18</c:f>
              <c:strCache>
                <c:ptCount val="6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</c:strCache>
            </c:strRef>
          </c:cat>
          <c:val>
            <c:numRef>
              <c:f>'Combo Chart Workshop'!$D$13:$D$18</c:f>
              <c:numCache>
                <c:formatCode>0.0%</c:formatCode>
                <c:ptCount val="6"/>
                <c:pt idx="0">
                  <c:v>0.308</c:v>
                </c:pt>
                <c:pt idx="1">
                  <c:v>0.315</c:v>
                </c:pt>
                <c:pt idx="2">
                  <c:v>0.30299999999999999</c:v>
                </c:pt>
                <c:pt idx="3">
                  <c:v>0.33</c:v>
                </c:pt>
                <c:pt idx="4">
                  <c:v>0.33400000000000002</c:v>
                </c:pt>
                <c:pt idx="5">
                  <c:v>0.32600000000000001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ACA-43C9-857C-194C5B212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7967464"/>
        <c:axId val="89344748"/>
      </c:lineChart>
      <c:catAx>
        <c:axId val="710347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184610"/>
        <c:crosses val="autoZero"/>
        <c:auto val="1"/>
        <c:lblAlgn val="ctr"/>
        <c:lblOffset val="100"/>
        <c:noMultiLvlLbl val="0"/>
      </c:catAx>
      <c:valAx>
        <c:axId val="171846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034724"/>
        <c:crosses val="autoZero"/>
        <c:crossBetween val="between"/>
      </c:valAx>
      <c:catAx>
        <c:axId val="579674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344748"/>
        <c:crosses val="autoZero"/>
        <c:auto val="1"/>
        <c:lblAlgn val="ctr"/>
        <c:lblOffset val="100"/>
        <c:noMultiLvlLbl val="0"/>
      </c:catAx>
      <c:valAx>
        <c:axId val="89344748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Margin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967464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Monthly Revenue vs Profit Margin %</a:t>
            </a:r>
          </a:p>
          <a:p>
            <a:pPr>
              <a:defRPr/>
            </a:pPr>
            <a:endParaRPr lang="en-IN"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Source'!$C$6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Source'!$B$7:$B$18</c:f>
              <c:strCache>
                <c:ptCount val="12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</c:strCache>
            </c:strRef>
          </c:cat>
          <c:val>
            <c:numRef>
              <c:f>'Data Source'!$C$7:$C$18</c:f>
              <c:numCache>
                <c:formatCode>#,##0</c:formatCode>
                <c:ptCount val="12"/>
                <c:pt idx="0">
                  <c:v>835000</c:v>
                </c:pt>
                <c:pt idx="1">
                  <c:v>870000</c:v>
                </c:pt>
                <c:pt idx="2">
                  <c:v>833000</c:v>
                </c:pt>
                <c:pt idx="3">
                  <c:v>940000</c:v>
                </c:pt>
                <c:pt idx="4">
                  <c:v>958000</c:v>
                </c:pt>
                <c:pt idx="5">
                  <c:v>938000</c:v>
                </c:pt>
                <c:pt idx="6">
                  <c:v>1047000</c:v>
                </c:pt>
                <c:pt idx="7">
                  <c:v>1113000</c:v>
                </c:pt>
                <c:pt idx="8">
                  <c:v>1260000</c:v>
                </c:pt>
                <c:pt idx="9">
                  <c:v>913000</c:v>
                </c:pt>
                <c:pt idx="10">
                  <c:v>876000</c:v>
                </c:pt>
                <c:pt idx="11">
                  <c:v>1167000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D-4ED3-94EB-D27B4773B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42939231"/>
        <c:axId val="442949791"/>
      </c:barChart>
      <c:lineChart>
        <c:grouping val="standard"/>
        <c:varyColors val="0"/>
        <c:ser>
          <c:idx val="1"/>
          <c:order val="1"/>
          <c:tx>
            <c:strRef>
              <c:f>'Data Source'!$F$6</c:f>
              <c:strCache>
                <c:ptCount val="1"/>
                <c:pt idx="0">
                  <c:v>Margin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'Data Source'!$B$7:$B$18</c:f>
              <c:strCache>
                <c:ptCount val="12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</c:strCache>
            </c:strRef>
          </c:cat>
          <c:val>
            <c:numRef>
              <c:f>'Data Source'!$F$7:$F$18</c:f>
              <c:numCache>
                <c:formatCode>0.0%</c:formatCode>
                <c:ptCount val="12"/>
                <c:pt idx="0">
                  <c:v>0.30778443113772452</c:v>
                </c:pt>
                <c:pt idx="1">
                  <c:v>0.31494252873563217</c:v>
                </c:pt>
                <c:pt idx="2">
                  <c:v>0.30252100840336132</c:v>
                </c:pt>
                <c:pt idx="3">
                  <c:v>0.32978723404255317</c:v>
                </c:pt>
                <c:pt idx="4">
                  <c:v>0.33402922755741127</c:v>
                </c:pt>
                <c:pt idx="5">
                  <c:v>0.32622601279317698</c:v>
                </c:pt>
                <c:pt idx="6">
                  <c:v>0.34574976122254059</c:v>
                </c:pt>
                <c:pt idx="7">
                  <c:v>0.35489667565139266</c:v>
                </c:pt>
                <c:pt idx="8">
                  <c:v>0.36666666666666664</c:v>
                </c:pt>
                <c:pt idx="9">
                  <c:v>0.31215772179627599</c:v>
                </c:pt>
                <c:pt idx="10">
                  <c:v>0.30593607305936071</c:v>
                </c:pt>
                <c:pt idx="11">
                  <c:v>0.35904027420736934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ED-4ED3-94EB-D27B4773B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0321263"/>
        <c:axId val="370307823"/>
      </c:lineChart>
      <c:catAx>
        <c:axId val="44293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949791"/>
        <c:crosses val="autoZero"/>
        <c:auto val="1"/>
        <c:lblAlgn val="ctr"/>
        <c:lblOffset val="100"/>
        <c:noMultiLvlLbl val="0"/>
      </c:catAx>
      <c:valAx>
        <c:axId val="44294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939231"/>
        <c:crosses val="autoZero"/>
        <c:crossBetween val="between"/>
      </c:valAx>
      <c:valAx>
        <c:axId val="37030782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Margin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321263"/>
        <c:crosses val="max"/>
        <c:crossBetween val="between"/>
      </c:valAx>
      <c:catAx>
        <c:axId val="3703212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03078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731520</xdr:colOff>
      <xdr:row>11</xdr:row>
      <xdr:rowOff>114300</xdr:rowOff>
    </xdr:from>
    <xdr:to>
      <xdr:col>18</xdr:col>
      <xdr:colOff>65520</xdr:colOff>
      <xdr:row>34</xdr:row>
      <xdr:rowOff>111420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5</xdr:row>
      <xdr:rowOff>0</xdr:rowOff>
    </xdr:from>
    <xdr:to>
      <xdr:col>9</xdr:col>
      <xdr:colOff>952500</xdr:colOff>
      <xdr:row>23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9A8448-2B68-4856-BEE8-AFFEE75854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H31"/>
  <sheetViews>
    <sheetView showGridLines="0" zoomScaleNormal="100" workbookViewId="0">
      <selection activeCell="L17" activeCellId="1" sqref="J13 L17"/>
    </sheetView>
  </sheetViews>
  <sheetFormatPr defaultColWidth="8.6640625" defaultRowHeight="14.4" x14ac:dyDescent="0.3"/>
  <cols>
    <col min="1" max="1" width="3" customWidth="1"/>
    <col min="2" max="2" width="12" customWidth="1"/>
    <col min="3" max="8" width="14" customWidth="1"/>
    <col min="9" max="9" width="3" customWidth="1"/>
  </cols>
  <sheetData>
    <row r="1" spans="2:8" ht="7.5" customHeight="1" x14ac:dyDescent="0.3"/>
    <row r="2" spans="2:8" ht="36" customHeight="1" x14ac:dyDescent="0.3">
      <c r="B2" s="73" t="s">
        <v>0</v>
      </c>
      <c r="C2" s="73"/>
      <c r="D2" s="73"/>
      <c r="E2" s="73"/>
      <c r="F2" s="73"/>
      <c r="G2" s="73"/>
      <c r="H2" s="73"/>
    </row>
    <row r="3" spans="2:8" ht="30" customHeight="1" x14ac:dyDescent="0.3">
      <c r="B3" s="69" t="s">
        <v>1</v>
      </c>
      <c r="C3" s="69"/>
      <c r="D3" s="69"/>
      <c r="E3" s="69"/>
      <c r="F3" s="69"/>
      <c r="G3" s="69"/>
      <c r="H3" s="69"/>
    </row>
    <row r="4" spans="2:8" ht="24" customHeight="1" x14ac:dyDescent="0.3"/>
    <row r="5" spans="2:8" ht="21.75" customHeight="1" x14ac:dyDescent="0.3">
      <c r="B5" s="74" t="s">
        <v>2</v>
      </c>
      <c r="C5" s="74"/>
      <c r="D5" s="74"/>
      <c r="E5" s="74"/>
      <c r="F5" s="74"/>
      <c r="G5" s="74"/>
      <c r="H5" s="74"/>
    </row>
    <row r="6" spans="2:8" x14ac:dyDescent="0.3"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</row>
    <row r="7" spans="2:8" x14ac:dyDescent="0.3">
      <c r="B7" s="4" t="s">
        <v>10</v>
      </c>
      <c r="C7" s="5">
        <v>835000</v>
      </c>
      <c r="D7" s="5">
        <v>578000</v>
      </c>
      <c r="E7" s="6">
        <f t="shared" ref="E7:E18" si="0">C7-D7</f>
        <v>257000</v>
      </c>
      <c r="F7" s="7">
        <f t="shared" ref="F7:F19" si="1">E7/C7</f>
        <v>0.30778443113772452</v>
      </c>
      <c r="G7" s="5">
        <v>312</v>
      </c>
      <c r="H7" s="5">
        <f t="shared" ref="H7:H18" si="2">C7/G7</f>
        <v>2676.2820512820513</v>
      </c>
    </row>
    <row r="8" spans="2:8" x14ac:dyDescent="0.3">
      <c r="B8" s="8" t="s">
        <v>11</v>
      </c>
      <c r="C8" s="9">
        <v>870000</v>
      </c>
      <c r="D8" s="9">
        <v>596000</v>
      </c>
      <c r="E8" s="10">
        <f t="shared" si="0"/>
        <v>274000</v>
      </c>
      <c r="F8" s="11">
        <f t="shared" si="1"/>
        <v>0.31494252873563217</v>
      </c>
      <c r="G8" s="9">
        <v>334</v>
      </c>
      <c r="H8" s="9">
        <f t="shared" si="2"/>
        <v>2604.7904191616767</v>
      </c>
    </row>
    <row r="9" spans="2:8" x14ac:dyDescent="0.3">
      <c r="B9" s="4" t="s">
        <v>12</v>
      </c>
      <c r="C9" s="5">
        <v>833000</v>
      </c>
      <c r="D9" s="5">
        <v>581000</v>
      </c>
      <c r="E9" s="6">
        <f t="shared" si="0"/>
        <v>252000</v>
      </c>
      <c r="F9" s="7">
        <f t="shared" si="1"/>
        <v>0.30252100840336132</v>
      </c>
      <c r="G9" s="5">
        <v>298</v>
      </c>
      <c r="H9" s="5">
        <f t="shared" si="2"/>
        <v>2795.3020134228186</v>
      </c>
    </row>
    <row r="10" spans="2:8" x14ac:dyDescent="0.3">
      <c r="B10" s="8" t="s">
        <v>13</v>
      </c>
      <c r="C10" s="9">
        <v>940000</v>
      </c>
      <c r="D10" s="9">
        <v>630000</v>
      </c>
      <c r="E10" s="10">
        <f t="shared" si="0"/>
        <v>310000</v>
      </c>
      <c r="F10" s="11">
        <f t="shared" si="1"/>
        <v>0.32978723404255317</v>
      </c>
      <c r="G10" s="9">
        <v>358</v>
      </c>
      <c r="H10" s="9">
        <f t="shared" si="2"/>
        <v>2625.6983240223462</v>
      </c>
    </row>
    <row r="11" spans="2:8" x14ac:dyDescent="0.3">
      <c r="B11" s="4" t="s">
        <v>14</v>
      </c>
      <c r="C11" s="5">
        <v>958000</v>
      </c>
      <c r="D11" s="5">
        <v>638000</v>
      </c>
      <c r="E11" s="6">
        <f t="shared" si="0"/>
        <v>320000</v>
      </c>
      <c r="F11" s="7">
        <f t="shared" si="1"/>
        <v>0.33402922755741127</v>
      </c>
      <c r="G11" s="5">
        <v>371</v>
      </c>
      <c r="H11" s="5">
        <f t="shared" si="2"/>
        <v>2582.210242587601</v>
      </c>
    </row>
    <row r="12" spans="2:8" x14ac:dyDescent="0.3">
      <c r="B12" s="8" t="s">
        <v>15</v>
      </c>
      <c r="C12" s="9">
        <v>938000</v>
      </c>
      <c r="D12" s="9">
        <v>632000</v>
      </c>
      <c r="E12" s="10">
        <f t="shared" si="0"/>
        <v>306000</v>
      </c>
      <c r="F12" s="11">
        <f t="shared" si="1"/>
        <v>0.32622601279317698</v>
      </c>
      <c r="G12" s="9">
        <v>352</v>
      </c>
      <c r="H12" s="9">
        <f t="shared" si="2"/>
        <v>2664.7727272727275</v>
      </c>
    </row>
    <row r="13" spans="2:8" x14ac:dyDescent="0.3">
      <c r="B13" s="4" t="s">
        <v>16</v>
      </c>
      <c r="C13" s="5">
        <v>1047000</v>
      </c>
      <c r="D13" s="5">
        <v>685000</v>
      </c>
      <c r="E13" s="6">
        <f t="shared" si="0"/>
        <v>362000</v>
      </c>
      <c r="F13" s="7">
        <f t="shared" si="1"/>
        <v>0.34574976122254059</v>
      </c>
      <c r="G13" s="5">
        <v>398</v>
      </c>
      <c r="H13" s="5">
        <f t="shared" si="2"/>
        <v>2630.6532663316584</v>
      </c>
    </row>
    <row r="14" spans="2:8" x14ac:dyDescent="0.3">
      <c r="B14" s="8" t="s">
        <v>17</v>
      </c>
      <c r="C14" s="9">
        <v>1113000</v>
      </c>
      <c r="D14" s="9">
        <v>718000</v>
      </c>
      <c r="E14" s="10">
        <f t="shared" si="0"/>
        <v>395000</v>
      </c>
      <c r="F14" s="11">
        <f t="shared" si="1"/>
        <v>0.35489667565139266</v>
      </c>
      <c r="G14" s="9">
        <v>421</v>
      </c>
      <c r="H14" s="9">
        <f t="shared" si="2"/>
        <v>2643.7054631828978</v>
      </c>
    </row>
    <row r="15" spans="2:8" x14ac:dyDescent="0.3">
      <c r="B15" s="4" t="s">
        <v>18</v>
      </c>
      <c r="C15" s="5">
        <v>1260000</v>
      </c>
      <c r="D15" s="5">
        <v>798000</v>
      </c>
      <c r="E15" s="6">
        <f t="shared" si="0"/>
        <v>462000</v>
      </c>
      <c r="F15" s="7">
        <f t="shared" si="1"/>
        <v>0.36666666666666664</v>
      </c>
      <c r="G15" s="5">
        <v>485</v>
      </c>
      <c r="H15" s="5">
        <f t="shared" si="2"/>
        <v>2597.9381443298971</v>
      </c>
    </row>
    <row r="16" spans="2:8" x14ac:dyDescent="0.3">
      <c r="B16" s="8" t="s">
        <v>19</v>
      </c>
      <c r="C16" s="9">
        <v>913000</v>
      </c>
      <c r="D16" s="9">
        <v>628000</v>
      </c>
      <c r="E16" s="10">
        <f t="shared" si="0"/>
        <v>285000</v>
      </c>
      <c r="F16" s="11">
        <f t="shared" si="1"/>
        <v>0.31215772179627599</v>
      </c>
      <c r="G16" s="9">
        <v>341</v>
      </c>
      <c r="H16" s="9">
        <f t="shared" si="2"/>
        <v>2677.4193548387098</v>
      </c>
    </row>
    <row r="17" spans="2:8" x14ac:dyDescent="0.3">
      <c r="B17" s="4" t="s">
        <v>20</v>
      </c>
      <c r="C17" s="5">
        <v>876000</v>
      </c>
      <c r="D17" s="5">
        <v>608000</v>
      </c>
      <c r="E17" s="6">
        <f t="shared" si="0"/>
        <v>268000</v>
      </c>
      <c r="F17" s="7">
        <f t="shared" si="1"/>
        <v>0.30593607305936071</v>
      </c>
      <c r="G17" s="5">
        <v>318</v>
      </c>
      <c r="H17" s="5">
        <f t="shared" si="2"/>
        <v>2754.7169811320755</v>
      </c>
    </row>
    <row r="18" spans="2:8" x14ac:dyDescent="0.3">
      <c r="B18" s="8" t="s">
        <v>21</v>
      </c>
      <c r="C18" s="9">
        <v>1167000</v>
      </c>
      <c r="D18" s="9">
        <v>748000</v>
      </c>
      <c r="E18" s="10">
        <f t="shared" si="0"/>
        <v>419000</v>
      </c>
      <c r="F18" s="11">
        <f t="shared" si="1"/>
        <v>0.35904027420736934</v>
      </c>
      <c r="G18" s="9">
        <v>445</v>
      </c>
      <c r="H18" s="9">
        <f t="shared" si="2"/>
        <v>2622.4719101123596</v>
      </c>
    </row>
    <row r="19" spans="2:8" ht="21.75" customHeight="1" x14ac:dyDescent="0.3">
      <c r="B19" s="3" t="s">
        <v>22</v>
      </c>
      <c r="C19" s="12">
        <f>SUM(C7:C18)</f>
        <v>11750000</v>
      </c>
      <c r="D19" s="12">
        <f>SUM(D7:D18)</f>
        <v>7840000</v>
      </c>
      <c r="E19" s="12">
        <f>SUM(E7:E18)</f>
        <v>3910000</v>
      </c>
      <c r="F19" s="13">
        <f t="shared" si="1"/>
        <v>0.33276595744680854</v>
      </c>
      <c r="G19" s="12">
        <f>SUM(G7:G18)</f>
        <v>4433</v>
      </c>
      <c r="H19" s="14"/>
    </row>
    <row r="22" spans="2:8" ht="21.75" customHeight="1" x14ac:dyDescent="0.3">
      <c r="B22" s="74" t="s">
        <v>23</v>
      </c>
      <c r="C22" s="74"/>
      <c r="D22" s="74"/>
      <c r="E22" s="74"/>
      <c r="F22" s="74"/>
      <c r="G22" s="74"/>
      <c r="H22" s="74"/>
    </row>
    <row r="23" spans="2:8" x14ac:dyDescent="0.3">
      <c r="B23" s="3" t="s">
        <v>24</v>
      </c>
      <c r="C23" s="3" t="s">
        <v>25</v>
      </c>
      <c r="D23" s="3" t="s">
        <v>26</v>
      </c>
      <c r="E23" s="3" t="s">
        <v>27</v>
      </c>
      <c r="F23" s="3" t="s">
        <v>28</v>
      </c>
      <c r="G23" s="3" t="s">
        <v>29</v>
      </c>
      <c r="H23" s="3" t="s">
        <v>30</v>
      </c>
    </row>
    <row r="24" spans="2:8" x14ac:dyDescent="0.3">
      <c r="B24" s="15" t="s">
        <v>31</v>
      </c>
      <c r="C24" s="5">
        <v>42000</v>
      </c>
      <c r="D24" s="5">
        <v>48000</v>
      </c>
      <c r="E24" s="5">
        <v>39000</v>
      </c>
      <c r="F24" s="5">
        <v>55000</v>
      </c>
      <c r="G24" s="5">
        <v>58000</v>
      </c>
      <c r="H24" s="5">
        <v>51000</v>
      </c>
    </row>
    <row r="25" spans="2:8" x14ac:dyDescent="0.3">
      <c r="B25" s="16" t="s">
        <v>32</v>
      </c>
      <c r="C25" s="9">
        <v>35000</v>
      </c>
      <c r="D25" s="9">
        <v>32000</v>
      </c>
      <c r="E25" s="9">
        <v>38000</v>
      </c>
      <c r="F25" s="9">
        <v>41000</v>
      </c>
      <c r="G25" s="9">
        <v>36000</v>
      </c>
      <c r="H25" s="9">
        <v>44000</v>
      </c>
    </row>
    <row r="26" spans="2:8" x14ac:dyDescent="0.3">
      <c r="B26" s="15" t="s">
        <v>33</v>
      </c>
      <c r="C26" s="5">
        <v>61000</v>
      </c>
      <c r="D26" s="5">
        <v>65000</v>
      </c>
      <c r="E26" s="5">
        <v>58000</v>
      </c>
      <c r="F26" s="5">
        <v>72000</v>
      </c>
      <c r="G26" s="5">
        <v>78000</v>
      </c>
      <c r="H26" s="5">
        <v>69000</v>
      </c>
    </row>
    <row r="27" spans="2:8" x14ac:dyDescent="0.3">
      <c r="B27" s="16" t="s">
        <v>34</v>
      </c>
      <c r="C27" s="9">
        <v>28000</v>
      </c>
      <c r="D27" s="9">
        <v>31000</v>
      </c>
      <c r="E27" s="9">
        <v>25000</v>
      </c>
      <c r="F27" s="9">
        <v>29000</v>
      </c>
      <c r="G27" s="9">
        <v>33000</v>
      </c>
      <c r="H27" s="9">
        <v>30000</v>
      </c>
    </row>
    <row r="28" spans="2:8" x14ac:dyDescent="0.3">
      <c r="B28" s="15" t="s">
        <v>35</v>
      </c>
      <c r="C28" s="5">
        <v>45000</v>
      </c>
      <c r="D28" s="5">
        <v>44000</v>
      </c>
      <c r="E28" s="5">
        <v>47000</v>
      </c>
      <c r="F28" s="5">
        <v>52000</v>
      </c>
      <c r="G28" s="5">
        <v>49000</v>
      </c>
      <c r="H28" s="5">
        <v>55000</v>
      </c>
    </row>
    <row r="29" spans="2:8" x14ac:dyDescent="0.3">
      <c r="B29" s="16" t="s">
        <v>36</v>
      </c>
      <c r="C29" s="9">
        <v>22000</v>
      </c>
      <c r="D29" s="9">
        <v>19000</v>
      </c>
      <c r="E29" s="9">
        <v>24000</v>
      </c>
      <c r="F29" s="9">
        <v>21000</v>
      </c>
      <c r="G29" s="9">
        <v>18000</v>
      </c>
      <c r="H29" s="9">
        <v>20000</v>
      </c>
    </row>
    <row r="30" spans="2:8" x14ac:dyDescent="0.3">
      <c r="B30" s="15" t="s">
        <v>37</v>
      </c>
      <c r="C30" s="5">
        <v>68000</v>
      </c>
      <c r="D30" s="5">
        <v>72000</v>
      </c>
      <c r="E30" s="5">
        <v>65000</v>
      </c>
      <c r="F30" s="5">
        <v>80000</v>
      </c>
      <c r="G30" s="5">
        <v>85000</v>
      </c>
      <c r="H30" s="5">
        <v>77000</v>
      </c>
    </row>
    <row r="31" spans="2:8" x14ac:dyDescent="0.3">
      <c r="B31" s="16" t="s">
        <v>38</v>
      </c>
      <c r="C31" s="9">
        <v>38000</v>
      </c>
      <c r="D31" s="9">
        <v>41000</v>
      </c>
      <c r="E31" s="9">
        <v>36000</v>
      </c>
      <c r="F31" s="9">
        <v>43000</v>
      </c>
      <c r="G31" s="9">
        <v>45000</v>
      </c>
      <c r="H31" s="9">
        <v>42000</v>
      </c>
    </row>
  </sheetData>
  <mergeCells count="4">
    <mergeCell ref="B2:H2"/>
    <mergeCell ref="B3:H3"/>
    <mergeCell ref="B5:H5"/>
    <mergeCell ref="B22:H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EAA"/>
  </sheetPr>
  <dimension ref="B1:G44"/>
  <sheetViews>
    <sheetView showGridLines="0" topLeftCell="A7" zoomScaleNormal="100" workbookViewId="0">
      <selection activeCell="C44" sqref="C44:G44"/>
    </sheetView>
  </sheetViews>
  <sheetFormatPr defaultColWidth="8.6640625" defaultRowHeight="14.4" x14ac:dyDescent="0.3"/>
  <cols>
    <col min="1" max="1" width="3" customWidth="1"/>
    <col min="2" max="2" width="24" customWidth="1"/>
    <col min="3" max="4" width="14" customWidth="1"/>
    <col min="5" max="7" width="12" customWidth="1"/>
    <col min="8" max="8" width="3" customWidth="1"/>
  </cols>
  <sheetData>
    <row r="1" spans="2:7" ht="7.5" customHeight="1" x14ac:dyDescent="0.3"/>
    <row r="2" spans="2:7" ht="36" customHeight="1" x14ac:dyDescent="0.3">
      <c r="B2" s="73" t="s">
        <v>39</v>
      </c>
      <c r="C2" s="73"/>
      <c r="D2" s="73"/>
      <c r="E2" s="73"/>
      <c r="F2" s="73"/>
      <c r="G2" s="73"/>
    </row>
    <row r="3" spans="2:7" ht="30" customHeight="1" x14ac:dyDescent="0.3">
      <c r="B3" s="69" t="s">
        <v>40</v>
      </c>
      <c r="C3" s="69"/>
      <c r="D3" s="69"/>
      <c r="E3" s="69"/>
      <c r="F3" s="69"/>
      <c r="G3" s="69"/>
    </row>
    <row r="5" spans="2:7" ht="21.75" customHeight="1" x14ac:dyDescent="0.3">
      <c r="B5" s="83" t="s">
        <v>41</v>
      </c>
      <c r="C5" s="83"/>
      <c r="D5" s="83"/>
      <c r="E5" s="83"/>
      <c r="F5" s="83"/>
      <c r="G5" s="83"/>
    </row>
    <row r="6" spans="2:7" ht="27.75" customHeight="1" x14ac:dyDescent="0.3">
      <c r="B6" s="17" t="s">
        <v>42</v>
      </c>
      <c r="C6" s="79" t="s">
        <v>43</v>
      </c>
      <c r="D6" s="79"/>
      <c r="E6" s="79"/>
      <c r="F6" s="79"/>
      <c r="G6" s="79"/>
    </row>
    <row r="7" spans="2:7" ht="27.75" customHeight="1" x14ac:dyDescent="0.3">
      <c r="B7" s="18" t="s">
        <v>44</v>
      </c>
      <c r="C7" s="84" t="s">
        <v>45</v>
      </c>
      <c r="D7" s="84"/>
      <c r="E7" s="84"/>
      <c r="F7" s="84"/>
      <c r="G7" s="84"/>
    </row>
    <row r="8" spans="2:7" ht="27.75" customHeight="1" x14ac:dyDescent="0.3">
      <c r="B8" s="17" t="s">
        <v>46</v>
      </c>
      <c r="C8" s="79" t="s">
        <v>47</v>
      </c>
      <c r="D8" s="79"/>
      <c r="E8" s="79"/>
      <c r="F8" s="79"/>
      <c r="G8" s="79"/>
    </row>
    <row r="9" spans="2:7" ht="27.75" customHeight="1" x14ac:dyDescent="0.3">
      <c r="B9" s="18" t="s">
        <v>48</v>
      </c>
      <c r="C9" s="80" t="s">
        <v>49</v>
      </c>
      <c r="D9" s="80"/>
      <c r="E9" s="80"/>
      <c r="F9" s="80"/>
      <c r="G9" s="80"/>
    </row>
    <row r="11" spans="2:7" ht="21.75" customHeight="1" x14ac:dyDescent="0.3">
      <c r="B11" s="81" t="s">
        <v>50</v>
      </c>
      <c r="C11" s="81"/>
      <c r="D11" s="81"/>
      <c r="E11" s="81"/>
      <c r="F11" s="81"/>
      <c r="G11" s="81"/>
    </row>
    <row r="12" spans="2:7" x14ac:dyDescent="0.3">
      <c r="B12" s="3" t="s">
        <v>3</v>
      </c>
      <c r="C12" s="3" t="s">
        <v>4</v>
      </c>
      <c r="D12" s="3" t="s">
        <v>7</v>
      </c>
    </row>
    <row r="13" spans="2:7" x14ac:dyDescent="0.3">
      <c r="B13" s="4" t="s">
        <v>10</v>
      </c>
      <c r="C13" s="5">
        <v>835000</v>
      </c>
      <c r="D13" s="7">
        <v>0.308</v>
      </c>
    </row>
    <row r="14" spans="2:7" x14ac:dyDescent="0.3">
      <c r="B14" s="8" t="s">
        <v>11</v>
      </c>
      <c r="C14" s="9">
        <v>870000</v>
      </c>
      <c r="D14" s="11">
        <v>0.315</v>
      </c>
    </row>
    <row r="15" spans="2:7" x14ac:dyDescent="0.3">
      <c r="B15" s="4" t="s">
        <v>12</v>
      </c>
      <c r="C15" s="5">
        <v>833000</v>
      </c>
      <c r="D15" s="7">
        <v>0.30299999999999999</v>
      </c>
    </row>
    <row r="16" spans="2:7" x14ac:dyDescent="0.3">
      <c r="B16" s="8" t="s">
        <v>13</v>
      </c>
      <c r="C16" s="9">
        <v>940000</v>
      </c>
      <c r="D16" s="11">
        <v>0.33</v>
      </c>
    </row>
    <row r="17" spans="2:4" x14ac:dyDescent="0.3">
      <c r="B17" s="4" t="s">
        <v>14</v>
      </c>
      <c r="C17" s="5">
        <v>958000</v>
      </c>
      <c r="D17" s="7">
        <v>0.33400000000000002</v>
      </c>
    </row>
    <row r="18" spans="2:4" x14ac:dyDescent="0.3">
      <c r="B18" s="8" t="s">
        <v>15</v>
      </c>
      <c r="C18" s="9">
        <v>938000</v>
      </c>
      <c r="D18" s="11">
        <v>0.32600000000000001</v>
      </c>
    </row>
    <row r="35" spans="2:7" ht="21.75" customHeight="1" x14ac:dyDescent="0.3">
      <c r="B35" s="82" t="s">
        <v>51</v>
      </c>
      <c r="C35" s="82"/>
      <c r="D35" s="82"/>
      <c r="E35" s="82"/>
      <c r="F35" s="82"/>
      <c r="G35" s="82"/>
    </row>
    <row r="36" spans="2:7" ht="30" customHeight="1" x14ac:dyDescent="0.3">
      <c r="B36" s="19" t="s">
        <v>52</v>
      </c>
      <c r="C36" s="75" t="s">
        <v>53</v>
      </c>
      <c r="D36" s="75"/>
      <c r="E36" s="75"/>
      <c r="F36" s="75"/>
      <c r="G36" s="75"/>
    </row>
    <row r="37" spans="2:7" ht="30" customHeight="1" x14ac:dyDescent="0.3">
      <c r="B37" s="20" t="s">
        <v>54</v>
      </c>
      <c r="C37" s="78" t="s">
        <v>55</v>
      </c>
      <c r="D37" s="78"/>
      <c r="E37" s="78"/>
      <c r="F37" s="78"/>
      <c r="G37" s="78"/>
    </row>
    <row r="38" spans="2:7" ht="30" customHeight="1" x14ac:dyDescent="0.3">
      <c r="B38" s="19" t="s">
        <v>56</v>
      </c>
      <c r="C38" s="75" t="s">
        <v>57</v>
      </c>
      <c r="D38" s="75"/>
      <c r="E38" s="75"/>
      <c r="F38" s="75"/>
      <c r="G38" s="75"/>
    </row>
    <row r="39" spans="2:7" ht="30" customHeight="1" x14ac:dyDescent="0.3">
      <c r="B39" s="20" t="s">
        <v>58</v>
      </c>
      <c r="C39" s="78" t="s">
        <v>59</v>
      </c>
      <c r="D39" s="78"/>
      <c r="E39" s="78"/>
      <c r="F39" s="78"/>
      <c r="G39" s="78"/>
    </row>
    <row r="40" spans="2:7" ht="30" customHeight="1" x14ac:dyDescent="0.3">
      <c r="B40" s="19" t="s">
        <v>60</v>
      </c>
      <c r="C40" s="75" t="s">
        <v>61</v>
      </c>
      <c r="D40" s="75"/>
      <c r="E40" s="75"/>
      <c r="F40" s="75"/>
      <c r="G40" s="75"/>
    </row>
    <row r="41" spans="2:7" ht="30" customHeight="1" x14ac:dyDescent="0.3">
      <c r="B41" s="20" t="s">
        <v>62</v>
      </c>
      <c r="C41" s="78" t="s">
        <v>63</v>
      </c>
      <c r="D41" s="78"/>
      <c r="E41" s="78"/>
      <c r="F41" s="78"/>
      <c r="G41" s="78"/>
    </row>
    <row r="42" spans="2:7" ht="30" customHeight="1" x14ac:dyDescent="0.3">
      <c r="B42" s="19" t="s">
        <v>64</v>
      </c>
      <c r="C42" s="75" t="s">
        <v>65</v>
      </c>
      <c r="D42" s="75"/>
      <c r="E42" s="75"/>
      <c r="F42" s="75"/>
      <c r="G42" s="75"/>
    </row>
    <row r="43" spans="2:7" ht="30" customHeight="1" x14ac:dyDescent="0.3">
      <c r="B43" s="21" t="s">
        <v>66</v>
      </c>
      <c r="C43" s="76" t="s">
        <v>67</v>
      </c>
      <c r="D43" s="76"/>
      <c r="E43" s="76"/>
      <c r="F43" s="76"/>
      <c r="G43" s="76"/>
    </row>
    <row r="44" spans="2:7" ht="30" customHeight="1" x14ac:dyDescent="0.3">
      <c r="B44" s="22" t="s">
        <v>68</v>
      </c>
      <c r="C44" s="77" t="s">
        <v>69</v>
      </c>
      <c r="D44" s="77"/>
      <c r="E44" s="77"/>
      <c r="F44" s="77"/>
      <c r="G44" s="77"/>
    </row>
  </sheetData>
  <mergeCells count="18">
    <mergeCell ref="B2:G2"/>
    <mergeCell ref="B3:G3"/>
    <mergeCell ref="B5:G5"/>
    <mergeCell ref="C6:G6"/>
    <mergeCell ref="C7:G7"/>
    <mergeCell ref="C8:G8"/>
    <mergeCell ref="C9:G9"/>
    <mergeCell ref="B11:G11"/>
    <mergeCell ref="B35:G35"/>
    <mergeCell ref="C36:G36"/>
    <mergeCell ref="C42:G42"/>
    <mergeCell ref="C43:G43"/>
    <mergeCell ref="C44:G44"/>
    <mergeCell ref="C37:G37"/>
    <mergeCell ref="C38:G38"/>
    <mergeCell ref="C39:G39"/>
    <mergeCell ref="C40:G40"/>
    <mergeCell ref="C41:G4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5C2A"/>
  </sheetPr>
  <dimension ref="B1:J34"/>
  <sheetViews>
    <sheetView showGridLines="0" topLeftCell="A22" zoomScaleNormal="100" workbookViewId="0">
      <selection activeCell="C34" sqref="C34:J34"/>
    </sheetView>
  </sheetViews>
  <sheetFormatPr defaultColWidth="8.6640625" defaultRowHeight="14.4" x14ac:dyDescent="0.3"/>
  <cols>
    <col min="1" max="1" width="3" customWidth="1"/>
    <col min="2" max="2" width="18" customWidth="1"/>
    <col min="3" max="3" width="13.5546875" customWidth="1"/>
    <col min="4" max="8" width="10" customWidth="1"/>
    <col min="9" max="10" width="14" customWidth="1"/>
    <col min="11" max="11" width="3" customWidth="1"/>
  </cols>
  <sheetData>
    <row r="1" spans="2:10" ht="7.5" customHeight="1" x14ac:dyDescent="0.3"/>
    <row r="2" spans="2:10" ht="36" customHeight="1" x14ac:dyDescent="0.3">
      <c r="B2" s="73" t="s">
        <v>70</v>
      </c>
      <c r="C2" s="73"/>
      <c r="D2" s="73"/>
      <c r="E2" s="73"/>
      <c r="F2" s="73"/>
      <c r="G2" s="73"/>
      <c r="H2" s="73"/>
      <c r="I2" s="73"/>
      <c r="J2" s="73"/>
    </row>
    <row r="3" spans="2:10" ht="30" customHeight="1" x14ac:dyDescent="0.3">
      <c r="B3" s="69" t="s">
        <v>71</v>
      </c>
      <c r="C3" s="69"/>
      <c r="D3" s="69"/>
      <c r="E3" s="69"/>
      <c r="F3" s="69"/>
      <c r="G3" s="69"/>
      <c r="H3" s="69"/>
      <c r="I3" s="69"/>
      <c r="J3" s="69"/>
    </row>
    <row r="5" spans="2:10" ht="21.75" customHeight="1" x14ac:dyDescent="0.3">
      <c r="B5" s="83" t="s">
        <v>72</v>
      </c>
      <c r="C5" s="83"/>
      <c r="D5" s="83"/>
      <c r="E5" s="83"/>
      <c r="F5" s="83"/>
      <c r="G5" s="83"/>
      <c r="H5" s="83"/>
      <c r="I5" s="83"/>
      <c r="J5" s="83"/>
    </row>
    <row r="6" spans="2:10" ht="21.75" customHeight="1" x14ac:dyDescent="0.3">
      <c r="B6" s="19" t="s">
        <v>73</v>
      </c>
      <c r="C6" s="23" t="s">
        <v>74</v>
      </c>
      <c r="D6" s="79" t="s">
        <v>75</v>
      </c>
      <c r="E6" s="79"/>
      <c r="F6" s="79"/>
      <c r="G6" s="79"/>
      <c r="H6" s="79"/>
      <c r="I6" s="79"/>
      <c r="J6" s="79"/>
    </row>
    <row r="7" spans="2:10" ht="21.75" customHeight="1" x14ac:dyDescent="0.3">
      <c r="B7" s="20" t="s">
        <v>73</v>
      </c>
      <c r="C7" s="24" t="s">
        <v>76</v>
      </c>
      <c r="D7" s="84" t="s">
        <v>77</v>
      </c>
      <c r="E7" s="84"/>
      <c r="F7" s="84"/>
      <c r="G7" s="84"/>
      <c r="H7" s="84"/>
      <c r="I7" s="84"/>
      <c r="J7" s="84"/>
    </row>
    <row r="8" spans="2:10" ht="21.75" customHeight="1" x14ac:dyDescent="0.3">
      <c r="B8" s="19" t="s">
        <v>73</v>
      </c>
      <c r="C8" s="23" t="s">
        <v>78</v>
      </c>
      <c r="D8" s="79" t="s">
        <v>79</v>
      </c>
      <c r="E8" s="79"/>
      <c r="F8" s="79"/>
      <c r="G8" s="79"/>
      <c r="H8" s="79"/>
      <c r="I8" s="79"/>
      <c r="J8" s="79"/>
    </row>
    <row r="9" spans="2:10" ht="21.75" customHeight="1" x14ac:dyDescent="0.3">
      <c r="B9" s="20" t="s">
        <v>80</v>
      </c>
      <c r="C9" s="24" t="s">
        <v>81</v>
      </c>
      <c r="D9" s="84" t="s">
        <v>82</v>
      </c>
      <c r="E9" s="84"/>
      <c r="F9" s="84"/>
      <c r="G9" s="84"/>
      <c r="H9" s="84"/>
      <c r="I9" s="84"/>
      <c r="J9" s="84"/>
    </row>
    <row r="10" spans="2:10" ht="21.75" customHeight="1" x14ac:dyDescent="0.3">
      <c r="B10" s="19" t="s">
        <v>83</v>
      </c>
      <c r="C10" s="23" t="s">
        <v>84</v>
      </c>
      <c r="D10" s="79" t="s">
        <v>85</v>
      </c>
      <c r="E10" s="79"/>
      <c r="F10" s="79"/>
      <c r="G10" s="79"/>
      <c r="H10" s="79"/>
      <c r="I10" s="79"/>
      <c r="J10" s="79"/>
    </row>
    <row r="11" spans="2:10" ht="21.75" customHeight="1" x14ac:dyDescent="0.3">
      <c r="B11" s="20" t="s">
        <v>83</v>
      </c>
      <c r="C11" s="24" t="s">
        <v>86</v>
      </c>
      <c r="D11" s="84" t="s">
        <v>87</v>
      </c>
      <c r="E11" s="84"/>
      <c r="F11" s="84"/>
      <c r="G11" s="84"/>
      <c r="H11" s="84"/>
      <c r="I11" s="84"/>
      <c r="J11" s="84"/>
    </row>
    <row r="13" spans="2:10" ht="21.75" customHeight="1" x14ac:dyDescent="0.3">
      <c r="B13" s="74" t="s">
        <v>88</v>
      </c>
      <c r="C13" s="74"/>
      <c r="D13" s="74"/>
      <c r="E13" s="74"/>
      <c r="F13" s="74"/>
      <c r="G13" s="74"/>
      <c r="H13" s="74"/>
      <c r="I13" s="74"/>
      <c r="J13" s="74"/>
    </row>
    <row r="14" spans="2:10" ht="36" customHeight="1" x14ac:dyDescent="0.3">
      <c r="B14" s="25" t="s">
        <v>24</v>
      </c>
      <c r="C14" s="25" t="s">
        <v>25</v>
      </c>
      <c r="D14" s="25" t="s">
        <v>26</v>
      </c>
      <c r="E14" s="25" t="s">
        <v>27</v>
      </c>
      <c r="F14" s="25" t="s">
        <v>28</v>
      </c>
      <c r="G14" s="25" t="s">
        <v>29</v>
      </c>
      <c r="H14" s="25" t="s">
        <v>30</v>
      </c>
      <c r="I14" s="25" t="s">
        <v>89</v>
      </c>
      <c r="J14" s="25" t="s">
        <v>90</v>
      </c>
    </row>
    <row r="15" spans="2:10" ht="24" customHeight="1" x14ac:dyDescent="0.3">
      <c r="B15" s="15" t="s">
        <v>31</v>
      </c>
      <c r="C15" s="5">
        <v>42000</v>
      </c>
      <c r="D15" s="5">
        <v>48000</v>
      </c>
      <c r="E15" s="5">
        <v>39000</v>
      </c>
      <c r="F15" s="5">
        <v>55000</v>
      </c>
      <c r="G15" s="5">
        <v>58000</v>
      </c>
      <c r="H15" s="5">
        <v>51000</v>
      </c>
      <c r="I15" s="26"/>
      <c r="J15" s="27"/>
    </row>
    <row r="16" spans="2:10" ht="24" customHeight="1" x14ac:dyDescent="0.3">
      <c r="B16" s="16" t="s">
        <v>32</v>
      </c>
      <c r="C16" s="9">
        <v>35000</v>
      </c>
      <c r="D16" s="9">
        <v>32000</v>
      </c>
      <c r="E16" s="9">
        <v>38000</v>
      </c>
      <c r="F16" s="9">
        <v>41000</v>
      </c>
      <c r="G16" s="9">
        <v>36000</v>
      </c>
      <c r="H16" s="9">
        <v>44000</v>
      </c>
      <c r="I16" s="26"/>
      <c r="J16" s="27"/>
    </row>
    <row r="17" spans="2:10" ht="24" customHeight="1" x14ac:dyDescent="0.3">
      <c r="B17" s="15" t="s">
        <v>33</v>
      </c>
      <c r="C17" s="5">
        <v>61000</v>
      </c>
      <c r="D17" s="5">
        <v>65000</v>
      </c>
      <c r="E17" s="5">
        <v>58000</v>
      </c>
      <c r="F17" s="5">
        <v>72000</v>
      </c>
      <c r="G17" s="5">
        <v>78000</v>
      </c>
      <c r="H17" s="5">
        <v>69000</v>
      </c>
      <c r="I17" s="26"/>
      <c r="J17" s="27"/>
    </row>
    <row r="18" spans="2:10" ht="24" customHeight="1" x14ac:dyDescent="0.3">
      <c r="B18" s="16" t="s">
        <v>34</v>
      </c>
      <c r="C18" s="9">
        <v>28000</v>
      </c>
      <c r="D18" s="9">
        <v>31000</v>
      </c>
      <c r="E18" s="9">
        <v>25000</v>
      </c>
      <c r="F18" s="9">
        <v>29000</v>
      </c>
      <c r="G18" s="9">
        <v>33000</v>
      </c>
      <c r="H18" s="9">
        <v>30000</v>
      </c>
      <c r="I18" s="26"/>
      <c r="J18" s="27"/>
    </row>
    <row r="19" spans="2:10" ht="24" customHeight="1" x14ac:dyDescent="0.3">
      <c r="B19" s="15" t="s">
        <v>35</v>
      </c>
      <c r="C19" s="5">
        <v>45000</v>
      </c>
      <c r="D19" s="5">
        <v>44000</v>
      </c>
      <c r="E19" s="5">
        <v>47000</v>
      </c>
      <c r="F19" s="5">
        <v>52000</v>
      </c>
      <c r="G19" s="5">
        <v>49000</v>
      </c>
      <c r="H19" s="5">
        <v>55000</v>
      </c>
      <c r="I19" s="26"/>
      <c r="J19" s="27"/>
    </row>
    <row r="20" spans="2:10" ht="24" customHeight="1" x14ac:dyDescent="0.3">
      <c r="B20" s="16" t="s">
        <v>36</v>
      </c>
      <c r="C20" s="9">
        <v>22000</v>
      </c>
      <c r="D20" s="9">
        <v>19000</v>
      </c>
      <c r="E20" s="9">
        <v>24000</v>
      </c>
      <c r="F20" s="9">
        <v>21000</v>
      </c>
      <c r="G20" s="9">
        <v>18000</v>
      </c>
      <c r="H20" s="9">
        <v>20000</v>
      </c>
      <c r="I20" s="26"/>
      <c r="J20" s="27"/>
    </row>
    <row r="21" spans="2:10" ht="24" customHeight="1" x14ac:dyDescent="0.3">
      <c r="B21" s="15" t="s">
        <v>37</v>
      </c>
      <c r="C21" s="5">
        <v>68000</v>
      </c>
      <c r="D21" s="5">
        <v>72000</v>
      </c>
      <c r="E21" s="5">
        <v>65000</v>
      </c>
      <c r="F21" s="5">
        <v>80000</v>
      </c>
      <c r="G21" s="5">
        <v>85000</v>
      </c>
      <c r="H21" s="5">
        <v>77000</v>
      </c>
      <c r="I21" s="26"/>
      <c r="J21" s="27"/>
    </row>
    <row r="22" spans="2:10" ht="24" customHeight="1" x14ac:dyDescent="0.3">
      <c r="B22" s="16" t="s">
        <v>38</v>
      </c>
      <c r="C22" s="9">
        <v>38000</v>
      </c>
      <c r="D22" s="9">
        <v>41000</v>
      </c>
      <c r="E22" s="9">
        <v>36000</v>
      </c>
      <c r="F22" s="9">
        <v>43000</v>
      </c>
      <c r="G22" s="9">
        <v>45000</v>
      </c>
      <c r="H22" s="9">
        <v>42000</v>
      </c>
      <c r="I22" s="26"/>
      <c r="J22" s="27"/>
    </row>
    <row r="23" spans="2:10" ht="21.75" customHeight="1" x14ac:dyDescent="0.3">
      <c r="B23" s="3" t="s">
        <v>91</v>
      </c>
      <c r="C23" s="12">
        <f t="shared" ref="C23:H23" si="0">SUM(C15:C22)</f>
        <v>339000</v>
      </c>
      <c r="D23" s="12">
        <f t="shared" si="0"/>
        <v>352000</v>
      </c>
      <c r="E23" s="12">
        <f t="shared" si="0"/>
        <v>332000</v>
      </c>
      <c r="F23" s="12">
        <f t="shared" si="0"/>
        <v>393000</v>
      </c>
      <c r="G23" s="12">
        <f t="shared" si="0"/>
        <v>402000</v>
      </c>
      <c r="H23" s="12">
        <f t="shared" si="0"/>
        <v>388000</v>
      </c>
      <c r="I23" s="14"/>
      <c r="J23" s="14"/>
    </row>
    <row r="25" spans="2:10" ht="21.75" customHeight="1" x14ac:dyDescent="0.3">
      <c r="B25" s="82" t="s">
        <v>92</v>
      </c>
      <c r="C25" s="82"/>
      <c r="D25" s="82"/>
      <c r="E25" s="82"/>
      <c r="F25" s="82"/>
      <c r="G25" s="82"/>
      <c r="H25" s="82"/>
      <c r="I25" s="82"/>
      <c r="J25" s="82"/>
    </row>
    <row r="26" spans="2:10" ht="27.75" customHeight="1" x14ac:dyDescent="0.3">
      <c r="B26" s="19" t="s">
        <v>52</v>
      </c>
      <c r="C26" s="75" t="s">
        <v>93</v>
      </c>
      <c r="D26" s="75"/>
      <c r="E26" s="75"/>
      <c r="F26" s="75"/>
      <c r="G26" s="75"/>
      <c r="H26" s="75"/>
      <c r="I26" s="75"/>
      <c r="J26" s="75"/>
    </row>
    <row r="27" spans="2:10" ht="27.75" customHeight="1" x14ac:dyDescent="0.3">
      <c r="B27" s="20" t="s">
        <v>54</v>
      </c>
      <c r="C27" s="78" t="s">
        <v>94</v>
      </c>
      <c r="D27" s="78"/>
      <c r="E27" s="78"/>
      <c r="F27" s="78"/>
      <c r="G27" s="78"/>
      <c r="H27" s="78"/>
      <c r="I27" s="78"/>
      <c r="J27" s="78"/>
    </row>
    <row r="28" spans="2:10" ht="27.75" customHeight="1" x14ac:dyDescent="0.3">
      <c r="B28" s="19" t="s">
        <v>56</v>
      </c>
      <c r="C28" s="75" t="s">
        <v>95</v>
      </c>
      <c r="D28" s="75"/>
      <c r="E28" s="75"/>
      <c r="F28" s="75"/>
      <c r="G28" s="75"/>
      <c r="H28" s="75"/>
      <c r="I28" s="75"/>
      <c r="J28" s="75"/>
    </row>
    <row r="29" spans="2:10" ht="27.75" customHeight="1" x14ac:dyDescent="0.3">
      <c r="B29" s="20" t="s">
        <v>58</v>
      </c>
      <c r="C29" s="78" t="s">
        <v>96</v>
      </c>
      <c r="D29" s="78"/>
      <c r="E29" s="78"/>
      <c r="F29" s="78"/>
      <c r="G29" s="78"/>
      <c r="H29" s="78"/>
      <c r="I29" s="78"/>
      <c r="J29" s="78"/>
    </row>
    <row r="30" spans="2:10" ht="27.75" customHeight="1" x14ac:dyDescent="0.3">
      <c r="B30" s="19" t="s">
        <v>60</v>
      </c>
      <c r="C30" s="75" t="s">
        <v>97</v>
      </c>
      <c r="D30" s="75"/>
      <c r="E30" s="75"/>
      <c r="F30" s="75"/>
      <c r="G30" s="75"/>
      <c r="H30" s="75"/>
      <c r="I30" s="75"/>
      <c r="J30" s="75"/>
    </row>
    <row r="31" spans="2:10" ht="27.75" customHeight="1" x14ac:dyDescent="0.3">
      <c r="B31" s="20" t="s">
        <v>62</v>
      </c>
      <c r="C31" s="78" t="s">
        <v>98</v>
      </c>
      <c r="D31" s="78"/>
      <c r="E31" s="78"/>
      <c r="F31" s="78"/>
      <c r="G31" s="78"/>
      <c r="H31" s="78"/>
      <c r="I31" s="78"/>
      <c r="J31" s="78"/>
    </row>
    <row r="32" spans="2:10" ht="27.75" customHeight="1" x14ac:dyDescent="0.3">
      <c r="B32" s="19" t="s">
        <v>64</v>
      </c>
      <c r="C32" s="75" t="s">
        <v>99</v>
      </c>
      <c r="D32" s="75"/>
      <c r="E32" s="75"/>
      <c r="F32" s="75"/>
      <c r="G32" s="75"/>
      <c r="H32" s="75"/>
      <c r="I32" s="75"/>
      <c r="J32" s="75"/>
    </row>
    <row r="33" spans="2:10" ht="27.75" customHeight="1" x14ac:dyDescent="0.3">
      <c r="B33" s="28" t="s">
        <v>100</v>
      </c>
      <c r="C33" s="85" t="s">
        <v>101</v>
      </c>
      <c r="D33" s="85"/>
      <c r="E33" s="85"/>
      <c r="F33" s="85"/>
      <c r="G33" s="85"/>
      <c r="H33" s="85"/>
      <c r="I33" s="85"/>
      <c r="J33" s="85"/>
    </row>
    <row r="34" spans="2:10" ht="27.75" customHeight="1" x14ac:dyDescent="0.3">
      <c r="B34" s="22" t="s">
        <v>68</v>
      </c>
      <c r="C34" s="77" t="s">
        <v>102</v>
      </c>
      <c r="D34" s="77"/>
      <c r="E34" s="77"/>
      <c r="F34" s="77"/>
      <c r="G34" s="77"/>
      <c r="H34" s="77"/>
      <c r="I34" s="77"/>
      <c r="J34" s="77"/>
    </row>
  </sheetData>
  <mergeCells count="20">
    <mergeCell ref="B2:J2"/>
    <mergeCell ref="B3:J3"/>
    <mergeCell ref="B5:J5"/>
    <mergeCell ref="D6:J6"/>
    <mergeCell ref="D7:J7"/>
    <mergeCell ref="D8:J8"/>
    <mergeCell ref="D9:J9"/>
    <mergeCell ref="D10:J10"/>
    <mergeCell ref="D11:J11"/>
    <mergeCell ref="B13:J13"/>
    <mergeCell ref="B25:J25"/>
    <mergeCell ref="C26:J26"/>
    <mergeCell ref="C27:J27"/>
    <mergeCell ref="C28:J28"/>
    <mergeCell ref="C29:J29"/>
    <mergeCell ref="C30:J30"/>
    <mergeCell ref="C31:J31"/>
    <mergeCell ref="C32:J32"/>
    <mergeCell ref="C33:J33"/>
    <mergeCell ref="C34:J3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750E8D7E-68C0-4E8F-85D1-32B18021B41D}">
          <x14:colorSeries theme="3" tint="-0.49998474074526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 Workshop'!C15:H15</xm:f>
              <xm:sqref>I15</xm:sqref>
            </x14:sparkline>
            <x14:sparkline>
              <xm:f>'Sparkline Workshop'!C16:H16</xm:f>
              <xm:sqref>I16</xm:sqref>
            </x14:sparkline>
            <x14:sparkline>
              <xm:f>'Sparkline Workshop'!C17:H17</xm:f>
              <xm:sqref>I17</xm:sqref>
            </x14:sparkline>
            <x14:sparkline>
              <xm:f>'Sparkline Workshop'!C18:H18</xm:f>
              <xm:sqref>I18</xm:sqref>
            </x14:sparkline>
            <x14:sparkline>
              <xm:f>'Sparkline Workshop'!C19:H19</xm:f>
              <xm:sqref>I19</xm:sqref>
            </x14:sparkline>
            <x14:sparkline>
              <xm:f>'Sparkline Workshop'!C20:H20</xm:f>
              <xm:sqref>I20</xm:sqref>
            </x14:sparkline>
            <x14:sparkline>
              <xm:f>'Sparkline Workshop'!C21:H21</xm:f>
              <xm:sqref>I21</xm:sqref>
            </x14:sparkline>
            <x14:sparkline>
              <xm:f>'Sparkline Workshop'!C22:H22</xm:f>
              <xm:sqref>I22</xm:sqref>
            </x14:sparkline>
          </x14:sparklines>
        </x14:sparklineGroup>
        <x14:sparklineGroup type="column" displayEmptyCellsAs="gap" xr2:uid="{F3F3EF67-7771-419E-8EA5-16D068A4496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 Workshop'!C15:H15</xm:f>
              <xm:sqref>J15</xm:sqref>
            </x14:sparkline>
            <x14:sparkline>
              <xm:f>'Sparkline Workshop'!C16:H16</xm:f>
              <xm:sqref>J16</xm:sqref>
            </x14:sparkline>
            <x14:sparkline>
              <xm:f>'Sparkline Workshop'!C17:H17</xm:f>
              <xm:sqref>J17</xm:sqref>
            </x14:sparkline>
            <x14:sparkline>
              <xm:f>'Sparkline Workshop'!C18:H18</xm:f>
              <xm:sqref>J18</xm:sqref>
            </x14:sparkline>
            <x14:sparkline>
              <xm:f>'Sparkline Workshop'!C19:H19</xm:f>
              <xm:sqref>J19</xm:sqref>
            </x14:sparkline>
            <x14:sparkline>
              <xm:f>'Sparkline Workshop'!C20:H20</xm:f>
              <xm:sqref>J20</xm:sqref>
            </x14:sparkline>
            <x14:sparkline>
              <xm:f>'Sparkline Workshop'!C21:H21</xm:f>
              <xm:sqref>J21</xm:sqref>
            </x14:sparkline>
            <x14:sparkline>
              <xm:f>'Sparkline Workshop'!C22:H22</xm:f>
              <xm:sqref>J22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B1:J39"/>
  <sheetViews>
    <sheetView showGridLines="0" tabSelected="1" zoomScaleNormal="100" workbookViewId="0">
      <selection activeCell="D13" sqref="D13"/>
    </sheetView>
  </sheetViews>
  <sheetFormatPr defaultColWidth="8.6640625" defaultRowHeight="14.4" x14ac:dyDescent="0.3"/>
  <cols>
    <col min="1" max="1" width="2" customWidth="1"/>
    <col min="2" max="2" width="18" customWidth="1"/>
    <col min="3" max="8" width="12" customWidth="1"/>
    <col min="9" max="10" width="14" customWidth="1"/>
    <col min="11" max="11" width="2" customWidth="1"/>
  </cols>
  <sheetData>
    <row r="1" spans="2:10" ht="6" customHeight="1" x14ac:dyDescent="0.3"/>
    <row r="2" spans="2:10" ht="39.75" customHeight="1" x14ac:dyDescent="0.3">
      <c r="B2" s="68" t="s">
        <v>103</v>
      </c>
      <c r="C2" s="68"/>
      <c r="D2" s="68"/>
      <c r="E2" s="68"/>
      <c r="F2" s="68"/>
      <c r="G2" s="68"/>
      <c r="H2" s="68"/>
      <c r="I2" s="68"/>
      <c r="J2" s="68"/>
    </row>
    <row r="3" spans="2:10" ht="27.75" customHeight="1" x14ac:dyDescent="0.3">
      <c r="B3" s="69" t="s">
        <v>104</v>
      </c>
      <c r="C3" s="69"/>
      <c r="D3" s="69"/>
      <c r="E3" s="69"/>
      <c r="F3" s="69"/>
      <c r="G3" s="69"/>
      <c r="H3" s="69"/>
      <c r="I3" s="69"/>
      <c r="J3" s="69"/>
    </row>
    <row r="5" spans="2:10" ht="21.75" customHeight="1" x14ac:dyDescent="0.3">
      <c r="B5" s="70" t="s">
        <v>105</v>
      </c>
      <c r="C5" s="70"/>
      <c r="D5" s="70"/>
      <c r="E5" s="70"/>
      <c r="F5" s="70"/>
      <c r="G5" s="70"/>
      <c r="H5" s="70"/>
      <c r="I5" s="70"/>
      <c r="J5" s="70"/>
    </row>
    <row r="6" spans="2:10" ht="13.5" customHeight="1" x14ac:dyDescent="0.3">
      <c r="B6" s="29"/>
      <c r="C6" s="29"/>
      <c r="D6" s="29"/>
      <c r="E6" s="29"/>
      <c r="F6" s="29"/>
      <c r="G6" s="29"/>
      <c r="H6" s="29"/>
      <c r="I6" s="29"/>
      <c r="J6" s="29"/>
    </row>
    <row r="7" spans="2:10" ht="13.5" customHeight="1" x14ac:dyDescent="0.3">
      <c r="B7" s="29"/>
      <c r="C7" s="29"/>
      <c r="D7" s="29"/>
      <c r="E7" s="29"/>
      <c r="F7" s="29"/>
      <c r="G7" s="29"/>
      <c r="H7" s="29"/>
      <c r="I7" s="29"/>
      <c r="J7" s="29"/>
    </row>
    <row r="8" spans="2:10" ht="13.5" customHeight="1" x14ac:dyDescent="0.3">
      <c r="B8" s="29"/>
      <c r="C8" s="29"/>
      <c r="D8" s="29"/>
      <c r="E8" s="29"/>
      <c r="F8" s="29"/>
      <c r="G8" s="29"/>
      <c r="H8" s="29"/>
      <c r="I8" s="29"/>
      <c r="J8" s="29"/>
    </row>
    <row r="9" spans="2:10" ht="13.5" customHeight="1" x14ac:dyDescent="0.3">
      <c r="B9" s="29"/>
      <c r="C9" s="29"/>
      <c r="D9" s="29"/>
      <c r="E9" s="29"/>
      <c r="F9" s="29"/>
      <c r="G9" s="29"/>
      <c r="H9" s="29"/>
      <c r="I9" s="29"/>
      <c r="J9" s="29"/>
    </row>
    <row r="10" spans="2:10" ht="13.5" customHeight="1" x14ac:dyDescent="0.3">
      <c r="B10" s="29"/>
      <c r="C10" s="29"/>
      <c r="D10" s="29"/>
      <c r="E10" s="29"/>
      <c r="F10" s="29"/>
      <c r="G10" s="29"/>
      <c r="H10" s="29"/>
      <c r="I10" s="29"/>
      <c r="J10" s="29"/>
    </row>
    <row r="11" spans="2:10" ht="13.5" customHeight="1" x14ac:dyDescent="0.3">
      <c r="B11" s="29"/>
      <c r="C11" s="29"/>
      <c r="D11" s="29"/>
      <c r="E11" s="29"/>
      <c r="F11" s="29"/>
      <c r="G11" s="29"/>
      <c r="H11" s="29"/>
      <c r="I11" s="29"/>
      <c r="J11" s="29"/>
    </row>
    <row r="12" spans="2:10" ht="13.5" customHeight="1" x14ac:dyDescent="0.3">
      <c r="B12" s="29"/>
      <c r="C12" s="29"/>
      <c r="D12" s="29"/>
      <c r="E12" s="29"/>
      <c r="F12" s="29"/>
      <c r="G12" s="29"/>
      <c r="H12" s="29"/>
      <c r="I12" s="29"/>
      <c r="J12" s="29"/>
    </row>
    <row r="13" spans="2:10" ht="13.5" customHeight="1" x14ac:dyDescent="0.3">
      <c r="B13" s="29"/>
      <c r="C13" s="29"/>
      <c r="D13" s="29"/>
      <c r="E13" s="29"/>
      <c r="F13" s="29"/>
      <c r="G13" s="29"/>
      <c r="H13" s="29"/>
      <c r="I13" s="29"/>
      <c r="J13" s="29"/>
    </row>
    <row r="14" spans="2:10" ht="13.5" customHeight="1" x14ac:dyDescent="0.3">
      <c r="B14" s="29"/>
      <c r="C14" s="29"/>
      <c r="D14" s="29"/>
      <c r="E14" s="29"/>
      <c r="F14" s="30" t="s">
        <v>106</v>
      </c>
      <c r="G14" s="29"/>
      <c r="H14" s="29"/>
      <c r="I14" s="29"/>
      <c r="J14" s="29"/>
    </row>
    <row r="15" spans="2:10" ht="13.5" customHeight="1" x14ac:dyDescent="0.3">
      <c r="B15" s="29"/>
      <c r="C15" s="29"/>
      <c r="D15" s="29"/>
      <c r="E15" s="29"/>
      <c r="F15" s="29"/>
      <c r="G15" s="29"/>
      <c r="H15" s="29"/>
      <c r="I15" s="29"/>
      <c r="J15" s="29"/>
    </row>
    <row r="16" spans="2:10" ht="13.5" customHeight="1" x14ac:dyDescent="0.3">
      <c r="B16" s="29"/>
      <c r="C16" s="29"/>
      <c r="D16" s="29"/>
      <c r="E16" s="29"/>
      <c r="F16" s="29"/>
      <c r="G16" s="29"/>
      <c r="H16" s="29"/>
      <c r="I16" s="29"/>
      <c r="J16" s="29"/>
    </row>
    <row r="17" spans="2:10" ht="13.5" customHeight="1" x14ac:dyDescent="0.3">
      <c r="B17" s="29"/>
      <c r="C17" s="29"/>
      <c r="D17" s="29"/>
      <c r="E17" s="29"/>
      <c r="F17" s="29"/>
      <c r="G17" s="29"/>
      <c r="H17" s="29"/>
      <c r="I17" s="29"/>
      <c r="J17" s="29"/>
    </row>
    <row r="18" spans="2:10" ht="13.5" customHeight="1" x14ac:dyDescent="0.3">
      <c r="B18" s="29"/>
      <c r="C18" s="29"/>
      <c r="D18" s="29"/>
      <c r="E18" s="29"/>
      <c r="F18" s="29"/>
      <c r="G18" s="29"/>
      <c r="H18" s="29"/>
      <c r="I18" s="29"/>
      <c r="J18" s="29"/>
    </row>
    <row r="19" spans="2:10" ht="13.5" customHeight="1" x14ac:dyDescent="0.3">
      <c r="B19" s="29"/>
      <c r="C19" s="29"/>
      <c r="D19" s="29"/>
      <c r="E19" s="29"/>
      <c r="F19" s="29"/>
      <c r="G19" s="29"/>
      <c r="H19" s="29"/>
      <c r="I19" s="29"/>
      <c r="J19" s="29"/>
    </row>
    <row r="20" spans="2:10" ht="13.5" customHeight="1" x14ac:dyDescent="0.3">
      <c r="B20" s="29"/>
      <c r="C20" s="29"/>
      <c r="D20" s="29"/>
      <c r="E20" s="29"/>
      <c r="F20" s="29"/>
      <c r="G20" s="29"/>
      <c r="H20" s="29"/>
      <c r="I20" s="29"/>
      <c r="J20" s="29"/>
    </row>
    <row r="21" spans="2:10" ht="13.5" customHeight="1" x14ac:dyDescent="0.3">
      <c r="B21" s="29"/>
      <c r="C21" s="29"/>
      <c r="D21" s="29"/>
      <c r="E21" s="29"/>
      <c r="F21" s="29"/>
      <c r="G21" s="29"/>
      <c r="H21" s="29"/>
      <c r="I21" s="29"/>
      <c r="J21" s="29"/>
    </row>
    <row r="22" spans="2:10" ht="13.5" customHeight="1" x14ac:dyDescent="0.3">
      <c r="B22" s="29"/>
      <c r="C22" s="29"/>
      <c r="D22" s="29"/>
      <c r="E22" s="29"/>
      <c r="F22" s="29"/>
      <c r="G22" s="29"/>
      <c r="H22" s="29"/>
      <c r="I22" s="29"/>
      <c r="J22" s="29"/>
    </row>
    <row r="23" spans="2:10" ht="13.5" customHeight="1" x14ac:dyDescent="0.3">
      <c r="B23" s="29"/>
      <c r="C23" s="29"/>
      <c r="D23" s="29"/>
      <c r="E23" s="29"/>
      <c r="F23" s="29"/>
      <c r="G23" s="29"/>
      <c r="H23" s="29"/>
      <c r="I23" s="29"/>
      <c r="J23" s="29"/>
    </row>
    <row r="25" spans="2:10" ht="21.75" customHeight="1" x14ac:dyDescent="0.3">
      <c r="B25" s="71" t="s">
        <v>107</v>
      </c>
      <c r="C25" s="71"/>
      <c r="D25" s="71"/>
      <c r="E25" s="71"/>
      <c r="F25" s="71"/>
      <c r="G25" s="71"/>
      <c r="H25" s="71"/>
      <c r="I25" s="71"/>
      <c r="J25" s="71"/>
    </row>
    <row r="26" spans="2:10" ht="36" customHeight="1" x14ac:dyDescent="0.3">
      <c r="B26" s="31" t="s">
        <v>24</v>
      </c>
      <c r="C26" s="31" t="s">
        <v>25</v>
      </c>
      <c r="D26" s="31" t="s">
        <v>26</v>
      </c>
      <c r="E26" s="31" t="s">
        <v>27</v>
      </c>
      <c r="F26" s="31" t="s">
        <v>28</v>
      </c>
      <c r="G26" s="31" t="s">
        <v>29</v>
      </c>
      <c r="H26" s="31" t="s">
        <v>30</v>
      </c>
      <c r="I26" s="31" t="s">
        <v>108</v>
      </c>
      <c r="J26" s="31" t="s">
        <v>109</v>
      </c>
    </row>
    <row r="27" spans="2:10" ht="25.5" customHeight="1" x14ac:dyDescent="0.3">
      <c r="B27" s="15" t="s">
        <v>31</v>
      </c>
      <c r="C27" s="5">
        <v>42000</v>
      </c>
      <c r="D27" s="5">
        <v>48000</v>
      </c>
      <c r="E27" s="5">
        <v>39000</v>
      </c>
      <c r="F27" s="5">
        <v>55000</v>
      </c>
      <c r="G27" s="5">
        <v>58000</v>
      </c>
      <c r="H27" s="5">
        <v>51000</v>
      </c>
      <c r="I27" s="32"/>
      <c r="J27" s="33"/>
    </row>
    <row r="28" spans="2:10" ht="25.5" customHeight="1" x14ac:dyDescent="0.3">
      <c r="B28" s="16" t="s">
        <v>32</v>
      </c>
      <c r="C28" s="9">
        <v>35000</v>
      </c>
      <c r="D28" s="9">
        <v>32000</v>
      </c>
      <c r="E28" s="9">
        <v>38000</v>
      </c>
      <c r="F28" s="9">
        <v>41000</v>
      </c>
      <c r="G28" s="9">
        <v>36000</v>
      </c>
      <c r="H28" s="9">
        <v>44000</v>
      </c>
      <c r="I28" s="32"/>
      <c r="J28" s="33"/>
    </row>
    <row r="29" spans="2:10" ht="25.5" customHeight="1" x14ac:dyDescent="0.3">
      <c r="B29" s="15" t="s">
        <v>33</v>
      </c>
      <c r="C29" s="5">
        <v>61000</v>
      </c>
      <c r="D29" s="5">
        <v>65000</v>
      </c>
      <c r="E29" s="5">
        <v>58000</v>
      </c>
      <c r="F29" s="5">
        <v>72000</v>
      </c>
      <c r="G29" s="5">
        <v>78000</v>
      </c>
      <c r="H29" s="5">
        <v>69000</v>
      </c>
      <c r="I29" s="32"/>
      <c r="J29" s="33"/>
    </row>
    <row r="30" spans="2:10" ht="25.5" customHeight="1" x14ac:dyDescent="0.3">
      <c r="B30" s="16" t="s">
        <v>34</v>
      </c>
      <c r="C30" s="9">
        <v>28000</v>
      </c>
      <c r="D30" s="9">
        <v>31000</v>
      </c>
      <c r="E30" s="9">
        <v>25000</v>
      </c>
      <c r="F30" s="9">
        <v>29000</v>
      </c>
      <c r="G30" s="9">
        <v>33000</v>
      </c>
      <c r="H30" s="9">
        <v>30000</v>
      </c>
      <c r="I30" s="32"/>
      <c r="J30" s="33"/>
    </row>
    <row r="31" spans="2:10" ht="25.5" customHeight="1" x14ac:dyDescent="0.3">
      <c r="B31" s="15" t="s">
        <v>35</v>
      </c>
      <c r="C31" s="5">
        <v>45000</v>
      </c>
      <c r="D31" s="5">
        <v>44000</v>
      </c>
      <c r="E31" s="5">
        <v>47000</v>
      </c>
      <c r="F31" s="5">
        <v>52000</v>
      </c>
      <c r="G31" s="5">
        <v>49000</v>
      </c>
      <c r="H31" s="5">
        <v>55000</v>
      </c>
      <c r="I31" s="32"/>
      <c r="J31" s="33"/>
    </row>
    <row r="32" spans="2:10" ht="25.5" customHeight="1" x14ac:dyDescent="0.3">
      <c r="B32" s="16" t="s">
        <v>36</v>
      </c>
      <c r="C32" s="9">
        <v>22000</v>
      </c>
      <c r="D32" s="9">
        <v>19000</v>
      </c>
      <c r="E32" s="9">
        <v>24000</v>
      </c>
      <c r="F32" s="9">
        <v>21000</v>
      </c>
      <c r="G32" s="9">
        <v>18000</v>
      </c>
      <c r="H32" s="9">
        <v>20000</v>
      </c>
      <c r="I32" s="32"/>
      <c r="J32" s="33"/>
    </row>
    <row r="33" spans="2:10" ht="25.5" customHeight="1" x14ac:dyDescent="0.3">
      <c r="B33" s="15" t="s">
        <v>37</v>
      </c>
      <c r="C33" s="5">
        <v>68000</v>
      </c>
      <c r="D33" s="5">
        <v>72000</v>
      </c>
      <c r="E33" s="5">
        <v>65000</v>
      </c>
      <c r="F33" s="5">
        <v>80000</v>
      </c>
      <c r="G33" s="5">
        <v>85000</v>
      </c>
      <c r="H33" s="5">
        <v>77000</v>
      </c>
      <c r="I33" s="32"/>
      <c r="J33" s="33"/>
    </row>
    <row r="34" spans="2:10" ht="25.5" customHeight="1" x14ac:dyDescent="0.3">
      <c r="B34" s="16" t="s">
        <v>38</v>
      </c>
      <c r="C34" s="9">
        <v>38000</v>
      </c>
      <c r="D34" s="9">
        <v>41000</v>
      </c>
      <c r="E34" s="9">
        <v>36000</v>
      </c>
      <c r="F34" s="9">
        <v>43000</v>
      </c>
      <c r="G34" s="9">
        <v>45000</v>
      </c>
      <c r="H34" s="9">
        <v>42000</v>
      </c>
      <c r="I34" s="32"/>
      <c r="J34" s="33"/>
    </row>
    <row r="36" spans="2:10" ht="21.75" customHeight="1" x14ac:dyDescent="0.3">
      <c r="B36" s="72" t="s">
        <v>110</v>
      </c>
      <c r="C36" s="72"/>
      <c r="D36" s="72"/>
      <c r="E36" s="72"/>
      <c r="F36" s="72"/>
      <c r="G36" s="72"/>
      <c r="H36" s="72"/>
      <c r="I36" s="72"/>
      <c r="J36" s="72"/>
    </row>
    <row r="37" spans="2:10" ht="30" customHeight="1" x14ac:dyDescent="0.3">
      <c r="B37" s="66" t="s">
        <v>69</v>
      </c>
      <c r="C37" s="66"/>
      <c r="D37" s="66"/>
      <c r="E37" s="66"/>
      <c r="F37" s="66"/>
      <c r="G37" s="66"/>
      <c r="H37" s="66"/>
      <c r="I37" s="66"/>
      <c r="J37" s="66"/>
    </row>
    <row r="38" spans="2:10" ht="30" customHeight="1" x14ac:dyDescent="0.3">
      <c r="B38" s="67" t="s">
        <v>202</v>
      </c>
      <c r="C38" s="67"/>
      <c r="D38" s="67"/>
      <c r="E38" s="67"/>
      <c r="F38" s="67"/>
      <c r="G38" s="67"/>
      <c r="H38" s="67"/>
      <c r="I38" s="67"/>
      <c r="J38" s="67"/>
    </row>
    <row r="39" spans="2:10" ht="30" customHeight="1" x14ac:dyDescent="0.3">
      <c r="B39" s="66" t="s">
        <v>203</v>
      </c>
      <c r="C39" s="66"/>
      <c r="D39" s="66"/>
      <c r="E39" s="66"/>
      <c r="F39" s="66"/>
      <c r="G39" s="66"/>
      <c r="H39" s="66"/>
      <c r="I39" s="66"/>
      <c r="J39" s="66"/>
    </row>
  </sheetData>
  <mergeCells count="8">
    <mergeCell ref="B37:J37"/>
    <mergeCell ref="B38:J38"/>
    <mergeCell ref="B39:J39"/>
    <mergeCell ref="B2:J2"/>
    <mergeCell ref="B3:J3"/>
    <mergeCell ref="B5:J5"/>
    <mergeCell ref="B25:J25"/>
    <mergeCell ref="B36:J36"/>
  </mergeCell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7A332EEE-D2F4-4943-A126-6DE448FEB71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'Practice Dashboard'!C27:H27</xm:f>
              <xm:sqref>I27</xm:sqref>
            </x14:sparkline>
            <x14:sparkline>
              <xm:f>'Practice Dashboard'!C28:H28</xm:f>
              <xm:sqref>I28</xm:sqref>
            </x14:sparkline>
            <x14:sparkline>
              <xm:f>'Practice Dashboard'!C29:H29</xm:f>
              <xm:sqref>I29</xm:sqref>
            </x14:sparkline>
            <x14:sparkline>
              <xm:f>'Practice Dashboard'!C30:H30</xm:f>
              <xm:sqref>I30</xm:sqref>
            </x14:sparkline>
            <x14:sparkline>
              <xm:f>'Practice Dashboard'!C31:H31</xm:f>
              <xm:sqref>I31</xm:sqref>
            </x14:sparkline>
            <x14:sparkline>
              <xm:f>'Practice Dashboard'!C32:H32</xm:f>
              <xm:sqref>I32</xm:sqref>
            </x14:sparkline>
            <x14:sparkline>
              <xm:f>'Practice Dashboard'!C33:H33</xm:f>
              <xm:sqref>I33</xm:sqref>
            </x14:sparkline>
            <x14:sparkline>
              <xm:f>'Practice Dashboard'!C34:H34</xm:f>
              <xm:sqref>I34</xm:sqref>
            </x14:sparkline>
          </x14:sparklines>
        </x14:sparklineGroup>
        <x14:sparklineGroup type="column" displayEmptyCellsAs="gap" xr2:uid="{22D0E3FE-71E6-4BBA-BC96-30FF1674367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'Practice Dashboard'!C27:H27</xm:f>
              <xm:sqref>J27</xm:sqref>
            </x14:sparkline>
            <x14:sparkline>
              <xm:f>'Practice Dashboard'!C28:H28</xm:f>
              <xm:sqref>J28</xm:sqref>
            </x14:sparkline>
            <x14:sparkline>
              <xm:f>'Practice Dashboard'!C29:H29</xm:f>
              <xm:sqref>J29</xm:sqref>
            </x14:sparkline>
            <x14:sparkline>
              <xm:f>'Practice Dashboard'!C30:H30</xm:f>
              <xm:sqref>J30</xm:sqref>
            </x14:sparkline>
            <x14:sparkline>
              <xm:f>'Practice Dashboard'!C31:H31</xm:f>
              <xm:sqref>J31</xm:sqref>
            </x14:sparkline>
            <x14:sparkline>
              <xm:f>'Practice Dashboard'!C32:H32</xm:f>
              <xm:sqref>J32</xm:sqref>
            </x14:sparkline>
            <x14:sparkline>
              <xm:f>'Practice Dashboard'!C33:H33</xm:f>
              <xm:sqref>J33</xm:sqref>
            </x14:sparkline>
            <x14:sparkline>
              <xm:f>'Practice Dashboard'!C34:H34</xm:f>
              <xm:sqref>J34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6000"/>
  </sheetPr>
  <dimension ref="B1:E18"/>
  <sheetViews>
    <sheetView showGridLines="0" topLeftCell="A7" zoomScaleNormal="100" workbookViewId="0">
      <selection activeCell="C16" sqref="C16"/>
    </sheetView>
  </sheetViews>
  <sheetFormatPr defaultColWidth="8.6640625" defaultRowHeight="14.4" x14ac:dyDescent="0.3"/>
  <cols>
    <col min="1" max="1" width="3" customWidth="1"/>
    <col min="2" max="2" width="22" customWidth="1"/>
    <col min="3" max="3" width="18" customWidth="1"/>
    <col min="4" max="4" width="32" customWidth="1"/>
    <col min="5" max="5" width="20" customWidth="1"/>
    <col min="6" max="6" width="3" customWidth="1"/>
  </cols>
  <sheetData>
    <row r="1" spans="2:5" ht="7.5" customHeight="1" x14ac:dyDescent="0.3"/>
    <row r="2" spans="2:5" ht="36" customHeight="1" x14ac:dyDescent="0.3">
      <c r="B2" s="73" t="s">
        <v>111</v>
      </c>
      <c r="C2" s="73"/>
      <c r="D2" s="73"/>
      <c r="E2" s="73"/>
    </row>
    <row r="3" spans="2:5" ht="30" customHeight="1" x14ac:dyDescent="0.3"/>
    <row r="4" spans="2:5" x14ac:dyDescent="0.3">
      <c r="B4" s="74" t="s">
        <v>112</v>
      </c>
      <c r="C4" s="74"/>
      <c r="D4" s="74"/>
      <c r="E4" s="74"/>
    </row>
    <row r="5" spans="2:5" x14ac:dyDescent="0.3">
      <c r="B5" s="3" t="s">
        <v>113</v>
      </c>
      <c r="C5" s="3" t="s">
        <v>114</v>
      </c>
      <c r="D5" s="3" t="s">
        <v>115</v>
      </c>
      <c r="E5" s="3" t="s">
        <v>116</v>
      </c>
    </row>
    <row r="6" spans="2:5" ht="36" customHeight="1" x14ac:dyDescent="0.3">
      <c r="B6" s="34" t="s">
        <v>117</v>
      </c>
      <c r="C6" s="35" t="s">
        <v>118</v>
      </c>
      <c r="D6" s="36" t="s">
        <v>119</v>
      </c>
      <c r="E6" s="1" t="s">
        <v>120</v>
      </c>
    </row>
    <row r="7" spans="2:5" ht="36" customHeight="1" x14ac:dyDescent="0.3">
      <c r="B7" s="37" t="s">
        <v>121</v>
      </c>
      <c r="C7" s="38" t="s">
        <v>122</v>
      </c>
      <c r="D7" s="39" t="s">
        <v>123</v>
      </c>
      <c r="E7" s="40" t="s">
        <v>124</v>
      </c>
    </row>
    <row r="8" spans="2:5" ht="36" customHeight="1" x14ac:dyDescent="0.3">
      <c r="B8" s="34" t="s">
        <v>125</v>
      </c>
      <c r="C8" s="35" t="s">
        <v>126</v>
      </c>
      <c r="D8" s="36" t="s">
        <v>127</v>
      </c>
      <c r="E8" s="1" t="s">
        <v>128</v>
      </c>
    </row>
    <row r="9" spans="2:5" ht="36" customHeight="1" x14ac:dyDescent="0.3">
      <c r="B9" s="37" t="s">
        <v>129</v>
      </c>
      <c r="C9" s="38" t="s">
        <v>130</v>
      </c>
      <c r="D9" s="39" t="s">
        <v>131</v>
      </c>
      <c r="E9" s="40" t="s">
        <v>132</v>
      </c>
    </row>
    <row r="10" spans="2:5" ht="36" customHeight="1" x14ac:dyDescent="0.3">
      <c r="B10" s="34" t="s">
        <v>133</v>
      </c>
      <c r="C10" s="35" t="s">
        <v>134</v>
      </c>
      <c r="D10" s="36" t="s">
        <v>135</v>
      </c>
      <c r="E10" s="1" t="s">
        <v>136</v>
      </c>
    </row>
    <row r="13" spans="2:5" ht="21.75" customHeight="1" x14ac:dyDescent="0.3">
      <c r="B13" s="86" t="s">
        <v>137</v>
      </c>
      <c r="C13" s="86"/>
      <c r="D13" s="86"/>
      <c r="E13" s="86"/>
    </row>
    <row r="14" spans="2:5" ht="21.75" customHeight="1" x14ac:dyDescent="0.3">
      <c r="B14" s="41" t="s">
        <v>138</v>
      </c>
      <c r="C14" s="41" t="s">
        <v>139</v>
      </c>
      <c r="D14" s="41" t="s">
        <v>140</v>
      </c>
      <c r="E14" s="42"/>
    </row>
    <row r="15" spans="2:5" ht="36" customHeight="1" x14ac:dyDescent="0.3">
      <c r="B15" s="43" t="s">
        <v>141</v>
      </c>
      <c r="C15" s="43" t="s">
        <v>142</v>
      </c>
      <c r="D15" s="43" t="s">
        <v>143</v>
      </c>
      <c r="E15" s="42"/>
    </row>
    <row r="16" spans="2:5" ht="36" customHeight="1" x14ac:dyDescent="0.3">
      <c r="B16" s="43" t="s">
        <v>144</v>
      </c>
      <c r="C16" s="43" t="s">
        <v>145</v>
      </c>
      <c r="D16" s="43" t="s">
        <v>146</v>
      </c>
      <c r="E16" s="42"/>
    </row>
    <row r="17" spans="2:5" ht="36" customHeight="1" x14ac:dyDescent="0.3">
      <c r="B17" s="43" t="s">
        <v>147</v>
      </c>
      <c r="C17" s="43" t="s">
        <v>148</v>
      </c>
      <c r="D17" s="43" t="s">
        <v>149</v>
      </c>
      <c r="E17" s="42"/>
    </row>
    <row r="18" spans="2:5" ht="36" customHeight="1" x14ac:dyDescent="0.3">
      <c r="B18" s="44" t="s">
        <v>150</v>
      </c>
      <c r="C18" s="44" t="s">
        <v>151</v>
      </c>
      <c r="D18" s="44" t="s">
        <v>152</v>
      </c>
    </row>
  </sheetData>
  <mergeCells count="3">
    <mergeCell ref="B2:E2"/>
    <mergeCell ref="B4:E4"/>
    <mergeCell ref="B13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F6000"/>
  </sheetPr>
  <dimension ref="B1:E24"/>
  <sheetViews>
    <sheetView showGridLines="0" topLeftCell="A4" zoomScaleNormal="100" workbookViewId="0"/>
  </sheetViews>
  <sheetFormatPr defaultColWidth="8.6640625" defaultRowHeight="14.4" x14ac:dyDescent="0.3"/>
  <cols>
    <col min="1" max="1" width="3" customWidth="1"/>
    <col min="2" max="2" width="20" customWidth="1"/>
    <col min="3" max="3" width="16" customWidth="1"/>
    <col min="4" max="4" width="38" customWidth="1"/>
    <col min="5" max="5" width="10" customWidth="1"/>
    <col min="6" max="6" width="3" customWidth="1"/>
  </cols>
  <sheetData>
    <row r="1" spans="2:5" ht="7.5" customHeight="1" x14ac:dyDescent="0.3"/>
    <row r="2" spans="2:5" ht="36" customHeight="1" x14ac:dyDescent="0.3">
      <c r="B2" s="73" t="s">
        <v>153</v>
      </c>
      <c r="C2" s="73"/>
      <c r="D2" s="73"/>
      <c r="E2" s="73"/>
    </row>
    <row r="3" spans="2:5" ht="30" customHeight="1" x14ac:dyDescent="0.3">
      <c r="B3" s="2" t="s">
        <v>154</v>
      </c>
      <c r="C3" s="2" t="s">
        <v>155</v>
      </c>
      <c r="D3" s="2" t="s">
        <v>156</v>
      </c>
      <c r="E3" s="2" t="s">
        <v>157</v>
      </c>
    </row>
    <row r="4" spans="2:5" ht="43.5" customHeight="1" x14ac:dyDescent="0.3">
      <c r="B4" s="15" t="s">
        <v>158</v>
      </c>
      <c r="C4" s="45" t="s">
        <v>159</v>
      </c>
      <c r="D4" s="1" t="s">
        <v>160</v>
      </c>
      <c r="E4" s="46" t="s">
        <v>161</v>
      </c>
    </row>
    <row r="5" spans="2:5" ht="43.5" customHeight="1" x14ac:dyDescent="0.3">
      <c r="B5" s="16" t="s">
        <v>162</v>
      </c>
      <c r="C5" s="47" t="s">
        <v>163</v>
      </c>
      <c r="D5" s="40" t="s">
        <v>164</v>
      </c>
      <c r="E5" s="48" t="s">
        <v>165</v>
      </c>
    </row>
    <row r="6" spans="2:5" ht="43.5" customHeight="1" x14ac:dyDescent="0.3">
      <c r="B6" s="15" t="s">
        <v>166</v>
      </c>
      <c r="C6" s="45" t="s">
        <v>167</v>
      </c>
      <c r="D6" s="1" t="s">
        <v>168</v>
      </c>
      <c r="E6" s="46" t="s">
        <v>169</v>
      </c>
    </row>
    <row r="7" spans="2:5" ht="43.5" customHeight="1" x14ac:dyDescent="0.3">
      <c r="B7" s="16" t="s">
        <v>170</v>
      </c>
      <c r="C7" s="47" t="s">
        <v>167</v>
      </c>
      <c r="D7" s="40" t="s">
        <v>171</v>
      </c>
      <c r="E7" s="48" t="s">
        <v>165</v>
      </c>
    </row>
    <row r="8" spans="2:5" ht="43.5" customHeight="1" x14ac:dyDescent="0.3">
      <c r="B8" s="15" t="s">
        <v>172</v>
      </c>
      <c r="C8" s="45" t="s">
        <v>173</v>
      </c>
      <c r="D8" s="1" t="s">
        <v>174</v>
      </c>
      <c r="E8" s="46" t="s">
        <v>175</v>
      </c>
    </row>
    <row r="9" spans="2:5" ht="43.5" customHeight="1" x14ac:dyDescent="0.3">
      <c r="B9" s="49" t="s">
        <v>176</v>
      </c>
      <c r="C9" s="50" t="s">
        <v>177</v>
      </c>
      <c r="D9" s="51" t="s">
        <v>178</v>
      </c>
      <c r="E9" s="52" t="s">
        <v>179</v>
      </c>
    </row>
    <row r="10" spans="2:5" ht="25.5" customHeight="1" x14ac:dyDescent="0.3">
      <c r="B10" s="88" t="s">
        <v>180</v>
      </c>
      <c r="C10" s="88"/>
      <c r="D10" s="88"/>
      <c r="E10" s="53" t="s">
        <v>181</v>
      </c>
    </row>
    <row r="12" spans="2:5" x14ac:dyDescent="0.3">
      <c r="B12" s="74" t="s">
        <v>182</v>
      </c>
      <c r="C12" s="74"/>
      <c r="D12" s="74"/>
      <c r="E12" s="74"/>
    </row>
    <row r="13" spans="2:5" ht="21.75" customHeight="1" x14ac:dyDescent="0.3">
      <c r="B13" s="54" t="s">
        <v>183</v>
      </c>
      <c r="C13" s="54" t="s">
        <v>184</v>
      </c>
      <c r="D13" s="55" t="s">
        <v>185</v>
      </c>
      <c r="E13" s="56"/>
    </row>
    <row r="14" spans="2:5" ht="21.75" customHeight="1" x14ac:dyDescent="0.3">
      <c r="B14" s="57" t="s">
        <v>186</v>
      </c>
      <c r="C14" s="57" t="s">
        <v>187</v>
      </c>
      <c r="D14" s="58" t="s">
        <v>188</v>
      </c>
      <c r="E14" s="59"/>
    </row>
    <row r="15" spans="2:5" ht="21.75" customHeight="1" x14ac:dyDescent="0.3">
      <c r="B15" s="60" t="s">
        <v>189</v>
      </c>
      <c r="C15" s="60" t="s">
        <v>190</v>
      </c>
      <c r="D15" s="61" t="s">
        <v>191</v>
      </c>
      <c r="E15" s="62"/>
    </row>
    <row r="16" spans="2:5" ht="21.75" customHeight="1" x14ac:dyDescent="0.3">
      <c r="B16" s="63" t="s">
        <v>192</v>
      </c>
      <c r="C16" s="63" t="s">
        <v>193</v>
      </c>
      <c r="D16" s="64" t="s">
        <v>194</v>
      </c>
      <c r="E16" s="65"/>
    </row>
    <row r="18" spans="2:5" ht="24" customHeight="1" x14ac:dyDescent="0.3">
      <c r="B18" s="89" t="s">
        <v>195</v>
      </c>
      <c r="C18" s="89"/>
      <c r="D18" s="89"/>
      <c r="E18" s="89"/>
    </row>
    <row r="19" spans="2:5" ht="30" customHeight="1" x14ac:dyDescent="0.3">
      <c r="B19" s="84" t="s">
        <v>196</v>
      </c>
      <c r="C19" s="84"/>
      <c r="D19" s="84"/>
      <c r="E19" s="84"/>
    </row>
    <row r="20" spans="2:5" ht="30" customHeight="1" x14ac:dyDescent="0.3">
      <c r="B20" s="87" t="s">
        <v>197</v>
      </c>
      <c r="C20" s="87"/>
      <c r="D20" s="87"/>
      <c r="E20" s="87"/>
    </row>
    <row r="21" spans="2:5" ht="30" customHeight="1" x14ac:dyDescent="0.3">
      <c r="B21" s="84" t="s">
        <v>198</v>
      </c>
      <c r="C21" s="84"/>
      <c r="D21" s="84"/>
      <c r="E21" s="84"/>
    </row>
    <row r="22" spans="2:5" ht="30" customHeight="1" x14ac:dyDescent="0.3">
      <c r="B22" s="87" t="s">
        <v>199</v>
      </c>
      <c r="C22" s="87"/>
      <c r="D22" s="87"/>
      <c r="E22" s="87"/>
    </row>
    <row r="23" spans="2:5" ht="30" customHeight="1" x14ac:dyDescent="0.3">
      <c r="B23" s="84" t="s">
        <v>200</v>
      </c>
      <c r="C23" s="84"/>
      <c r="D23" s="84"/>
      <c r="E23" s="84"/>
    </row>
    <row r="24" spans="2:5" ht="30" customHeight="1" x14ac:dyDescent="0.3">
      <c r="B24" s="77" t="s">
        <v>201</v>
      </c>
      <c r="C24" s="77"/>
      <c r="D24" s="77"/>
      <c r="E24" s="77"/>
    </row>
  </sheetData>
  <mergeCells count="10">
    <mergeCell ref="B2:E2"/>
    <mergeCell ref="B10:D10"/>
    <mergeCell ref="B12:E12"/>
    <mergeCell ref="B18:E18"/>
    <mergeCell ref="B19:E19"/>
    <mergeCell ref="B20:E20"/>
    <mergeCell ref="B21:E21"/>
    <mergeCell ref="B22:E22"/>
    <mergeCell ref="B23:E23"/>
    <mergeCell ref="B24:E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Source</vt:lpstr>
      <vt:lpstr>Combo Chart Workshop</vt:lpstr>
      <vt:lpstr>Sparkline Workshop</vt:lpstr>
      <vt:lpstr>Practice Dashboard</vt:lpstr>
      <vt:lpstr>Concept Notes</vt:lpstr>
      <vt:lpstr>Scoring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Deepanshu Garg</cp:lastModifiedBy>
  <cp:revision>1</cp:revision>
  <dcterms:created xsi:type="dcterms:W3CDTF">2026-04-02T06:23:10Z</dcterms:created>
  <dcterms:modified xsi:type="dcterms:W3CDTF">2026-04-02T12:40:18Z</dcterms:modified>
  <dc:language>en-US</dc:language>
</cp:coreProperties>
</file>