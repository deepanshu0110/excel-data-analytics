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30c6ebe1e7ac33e/Desktop/Excel/"/>
    </mc:Choice>
  </mc:AlternateContent>
  <xr:revisionPtr revIDLastSave="1" documentId="11_AD0926D28F89EF03A689C5809E4617C69FAFCC3F" xr6:coauthVersionLast="47" xr6:coauthVersionMax="47" xr10:uidLastSave="{ADF782EF-C8A6-4010-9CEC-FDD52C58FE96}"/>
  <bookViews>
    <workbookView xWindow="-108" yWindow="-108" windowWidth="23256" windowHeight="12456" activeTab="1" xr2:uid="{00000000-000D-0000-FFFF-FFFF00000000}"/>
  </bookViews>
  <sheets>
    <sheet name="Raw Data" sheetId="1" r:id="rId1"/>
    <sheet name="Dashboard" sheetId="2" r:id="rId2"/>
    <sheet name="Client Brief" sheetId="3" r:id="rId3"/>
  </sheets>
  <definedNames>
    <definedName name="Category">'Raw Data'!$B$2:$B$28</definedName>
    <definedName name="City">'Raw Data'!$A$2:$A$28</definedName>
    <definedName name="PricePerUnit">'Raw Data'!$E$2:$E$28</definedName>
    <definedName name="Product">'Raw Data'!$C$2:$C$28</definedName>
    <definedName name="Returns">'Raw Data'!$F$2:$F$28</definedName>
    <definedName name="UnitSold">'Raw Data'!$D$2:$D$28</definedName>
  </definedNames>
  <calcPr calcId="191029"/>
</workbook>
</file>

<file path=xl/calcChain.xml><?xml version="1.0" encoding="utf-8"?>
<calcChain xmlns="http://schemas.openxmlformats.org/spreadsheetml/2006/main">
  <c r="E13" i="2" l="1"/>
  <c r="E14" i="2"/>
  <c r="E15" i="2"/>
  <c r="E16" i="2"/>
  <c r="E12" i="2"/>
  <c r="G6" i="2"/>
  <c r="E6" i="2"/>
  <c r="C6" i="2"/>
  <c r="A6" i="2"/>
  <c r="H14" i="2"/>
  <c r="H13" i="2"/>
  <c r="H12" i="2"/>
  <c r="B23" i="2"/>
  <c r="B22" i="2"/>
  <c r="B21" i="2"/>
  <c r="H2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" i="1"/>
  <c r="D16" i="2"/>
  <c r="D15" i="2"/>
  <c r="D14" i="2"/>
  <c r="D13" i="2"/>
  <c r="D12" i="2"/>
  <c r="C16" i="2"/>
  <c r="C15" i="2"/>
  <c r="C14" i="2"/>
  <c r="C13" i="2"/>
  <c r="C12" i="2"/>
  <c r="B16" i="2"/>
  <c r="B15" i="2"/>
  <c r="B14" i="2"/>
  <c r="B13" i="2"/>
  <c r="B12" i="2"/>
</calcChain>
</file>

<file path=xl/sharedStrings.xml><?xml version="1.0" encoding="utf-8"?>
<sst xmlns="http://schemas.openxmlformats.org/spreadsheetml/2006/main" count="169" uniqueCount="62">
  <si>
    <t>City</t>
  </si>
  <si>
    <t>Category</t>
  </si>
  <si>
    <t>Product</t>
  </si>
  <si>
    <t>Units Sold</t>
  </si>
  <si>
    <t>Price (₹)</t>
  </si>
  <si>
    <t>Returns</t>
  </si>
  <si>
    <t>Month</t>
  </si>
  <si>
    <t>Delhi</t>
  </si>
  <si>
    <t>Electronics</t>
  </si>
  <si>
    <t>Earphones</t>
  </si>
  <si>
    <t>Jan</t>
  </si>
  <si>
    <t>USB Cable</t>
  </si>
  <si>
    <t>Accessories</t>
  </si>
  <si>
    <t>Mobile Cover</t>
  </si>
  <si>
    <t>Mumbai</t>
  </si>
  <si>
    <t>Screen Guard</t>
  </si>
  <si>
    <t>Phone Stand</t>
  </si>
  <si>
    <t>Bengaluru</t>
  </si>
  <si>
    <t>Feb</t>
  </si>
  <si>
    <t>Mar</t>
  </si>
  <si>
    <t>Q1 Sales Dashboard — Delhi · Mumbai · Bengaluru</t>
  </si>
  <si>
    <t>Build your dashboard below. Raw data is in the 'Raw Data' sheet. No hints. No yellow cells. You decide the layout.</t>
  </si>
  <si>
    <t>CLIENT BRIEF — Read this before you start</t>
  </si>
  <si>
    <t>Who you are:</t>
  </si>
  <si>
    <t>A freelance data analyst. The client is a retail chain owner who sells electronics and accessories in 3 cities.</t>
  </si>
  <si>
    <t>What the client asked for:</t>
  </si>
  <si>
    <t>"I want a single-sheet dashboard that shows me:</t>
  </si>
  <si>
    <t xml:space="preserve">  1. Overall Q1 numbers — total revenue, total units, total returns, return rate</t>
  </si>
  <si>
    <t xml:space="preserve">  2. Revenue by product — which product made the most money</t>
  </si>
  <si>
    <t xml:space="preserve">  3. Revenue by city — which city performed best</t>
  </si>
  <si>
    <t xml:space="preserve">  4. One chart — whatever you think tells the most important story</t>
  </si>
  <si>
    <t xml:space="preserve">  5. A 3-sentence summary at the bottom — written for me, not for Excel"</t>
  </si>
  <si>
    <t>Scoring (60 points total):</t>
  </si>
  <si>
    <t xml:space="preserve">  KPI section — 4 metrics, correct formulas                    → 12 pts</t>
  </si>
  <si>
    <t xml:space="preserve">  Product breakdown table — revenue, units, returns per product → 15 pts</t>
  </si>
  <si>
    <t xml:space="preserve">  City breakdown table — revenue per city (SUMIF by city)      → 10 pts</t>
  </si>
  <si>
    <t xml:space="preserve">  Chart — correct type, clean, labelled                        → 10 pts</t>
  </si>
  <si>
    <t xml:space="preserve">  Written summary — 3 sentences, numbers + reason + action     → 13 pts</t>
  </si>
  <si>
    <t>Rules:</t>
  </si>
  <si>
    <t xml:space="preserve">  • Everything on the Dashboard sheet — one sheet only</t>
  </si>
  <si>
    <t xml:space="preserve">  • All numbers must come from formulas — no hardcoding</t>
  </si>
  <si>
    <t xml:space="preserve">  • Chart must be inserted on the Dashboard sheet, not a separate chart sheet</t>
  </si>
  <si>
    <t xml:space="preserve">  • Summary must be written below your tables — not in another sheet</t>
  </si>
  <si>
    <t xml:space="preserve">  • Do not modify the Raw Data sheet</t>
  </si>
  <si>
    <t>One hint only:</t>
  </si>
  <si>
    <t xml:space="preserve">  City revenue → =SUMIF('Raw Data'!A:A, "Delhi", 'Raw Data'!&lt;revenue column&gt;)</t>
  </si>
  <si>
    <t xml:space="preserve">  Revenue column doesn't exist in Raw Data. You need to calculate it.</t>
  </si>
  <si>
    <t xml:space="preserve">  Hint: revenue per row = Units Sold × Price. Think about how SUMPRODUCT handles this.</t>
  </si>
  <si>
    <t>Total Revenue</t>
  </si>
  <si>
    <t>Total Units</t>
  </si>
  <si>
    <t>Total Returns</t>
  </si>
  <si>
    <t>Return Rate</t>
  </si>
  <si>
    <t>Products</t>
  </si>
  <si>
    <t>Revenue</t>
  </si>
  <si>
    <t>Cities</t>
  </si>
  <si>
    <t>January</t>
  </si>
  <si>
    <t>February</t>
  </si>
  <si>
    <t>March</t>
  </si>
  <si>
    <t xml:space="preserve">Contribution </t>
  </si>
  <si>
    <t>Earphones generated ₹487977 — 57.05% of total Q1 revenue — despite ranking 2nd in unit volume.</t>
  </si>
  <si>
    <t>Screen Guard had the worst return rate: 41 returns on 585 units (7.01%), the highest of all 5 products.</t>
  </si>
  <si>
    <t>Prioritise the Earphones stock before Q2 and check why Screen Guard has such high return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</si>
</sst>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FFFFFF"/>
      <name val="Arial"/>
    </font>
    <font>
      <i/>
      <sz val="9"/>
      <color rgb="FF888888"/>
      <name val="Arial"/>
    </font>
    <font>
      <b/>
      <sz val="12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444444"/>
      <name val="Arial"/>
    </font>
    <font>
      <sz val="10"/>
      <color rgb="FFCC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Per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Dashboard!$C$11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Dashboard!$A$12:$A$16</c:f>
              <c:strCache>
                <c:ptCount val="5"/>
                <c:pt idx="0">
                  <c:v>Earphones</c:v>
                </c:pt>
                <c:pt idx="1">
                  <c:v>USB Cable</c:v>
                </c:pt>
                <c:pt idx="2">
                  <c:v>Mobile Cover</c:v>
                </c:pt>
                <c:pt idx="3">
                  <c:v>Screen Guard</c:v>
                </c:pt>
                <c:pt idx="4">
                  <c:v>Phone Stand</c:v>
                </c:pt>
              </c:strCache>
            </c:strRef>
          </c:cat>
          <c:val>
            <c:numRef>
              <c:f>Dashboard!$C$12:$C$16</c:f>
              <c:numCache>
                <c:formatCode>"₹"\ #,##0.00</c:formatCode>
                <c:ptCount val="5"/>
                <c:pt idx="0">
                  <c:v>487977</c:v>
                </c:pt>
                <c:pt idx="1">
                  <c:v>124245</c:v>
                </c:pt>
                <c:pt idx="2">
                  <c:v>140954</c:v>
                </c:pt>
                <c:pt idx="3">
                  <c:v>46215</c:v>
                </c:pt>
                <c:pt idx="4">
                  <c:v>56025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9E-4CC4-995D-1046CE383D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20437632"/>
        <c:axId val="19204265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Dashboard!$B$11</c15:sqref>
                        </c15:formulaRef>
                      </c:ext>
                    </c:extLst>
                    <c:strCache>
                      <c:ptCount val="1"/>
                      <c:pt idx="0">
                        <c:v>Total Units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Dashboard!$A$12:$A$16</c15:sqref>
                        </c15:formulaRef>
                      </c:ext>
                    </c:extLst>
                    <c:strCache>
                      <c:ptCount val="5"/>
                      <c:pt idx="0">
                        <c:v>Earphones</c:v>
                      </c:pt>
                      <c:pt idx="1">
                        <c:v>USB Cable</c:v>
                      </c:pt>
                      <c:pt idx="2">
                        <c:v>Mobile Cover</c:v>
                      </c:pt>
                      <c:pt idx="3">
                        <c:v>Screen Guard</c:v>
                      </c:pt>
                      <c:pt idx="4">
                        <c:v>Phone Stand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Dashboard!$B$12:$B$16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1223</c:v>
                      </c:pt>
                      <c:pt idx="1">
                        <c:v>1255</c:v>
                      </c:pt>
                      <c:pt idx="2">
                        <c:v>946</c:v>
                      </c:pt>
                      <c:pt idx="3">
                        <c:v>585</c:v>
                      </c:pt>
                      <c:pt idx="4">
                        <c:v>225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A9E-4CC4-995D-1046CE383D0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Dashboard!$D$11</c15:sqref>
                        </c15:formulaRef>
                      </c:ext>
                    </c:extLst>
                    <c:strCache>
                      <c:ptCount val="1"/>
                      <c:pt idx="0">
                        <c:v>Returns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Dashboard!$A$12:$A$16</c15:sqref>
                        </c15:formulaRef>
                      </c:ext>
                    </c:extLst>
                    <c:strCache>
                      <c:ptCount val="5"/>
                      <c:pt idx="0">
                        <c:v>Earphones</c:v>
                      </c:pt>
                      <c:pt idx="1">
                        <c:v>USB Cable</c:v>
                      </c:pt>
                      <c:pt idx="2">
                        <c:v>Mobile Cover</c:v>
                      </c:pt>
                      <c:pt idx="3">
                        <c:v>Screen Guard</c:v>
                      </c:pt>
                      <c:pt idx="4">
                        <c:v>Phone Stand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Dashboard!$D$12:$D$16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75</c:v>
                      </c:pt>
                      <c:pt idx="1">
                        <c:v>33</c:v>
                      </c:pt>
                      <c:pt idx="2">
                        <c:v>25</c:v>
                      </c:pt>
                      <c:pt idx="3">
                        <c:v>41</c:v>
                      </c:pt>
                      <c:pt idx="4">
                        <c:v>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A9E-4CC4-995D-1046CE383D0D}"/>
                  </c:ext>
                </c:extLst>
              </c15:ser>
            </c15:filteredBarSeries>
          </c:ext>
        </c:extLst>
      </c:barChart>
      <c:catAx>
        <c:axId val="192043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426592"/>
        <c:crosses val="autoZero"/>
        <c:auto val="1"/>
        <c:lblAlgn val="ctr"/>
        <c:lblOffset val="100"/>
        <c:noMultiLvlLbl val="0"/>
      </c:catAx>
      <c:valAx>
        <c:axId val="192042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4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10</xdr:row>
      <xdr:rowOff>133350</xdr:rowOff>
    </xdr:from>
    <xdr:to>
      <xdr:col>15</xdr:col>
      <xdr:colOff>320040</xdr:colOff>
      <xdr:row>25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8AAD6C-B30C-FF5A-849E-5B44F0FFD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opLeftCell="A3" workbookViewId="0">
      <selection activeCell="H29" sqref="H29"/>
    </sheetView>
  </sheetViews>
  <sheetFormatPr defaultRowHeight="14.4" x14ac:dyDescent="0.3"/>
  <cols>
    <col min="1" max="2" width="14" customWidth="1"/>
    <col min="3" max="3" width="16" customWidth="1"/>
    <col min="4" max="4" width="13" customWidth="1"/>
    <col min="5" max="5" width="12" customWidth="1"/>
    <col min="6" max="6" width="10" customWidth="1"/>
    <col min="7" max="7" width="8" customWidth="1"/>
  </cols>
  <sheetData>
    <row r="1" spans="1:8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6" t="s">
        <v>53</v>
      </c>
    </row>
    <row r="2" spans="1:8" x14ac:dyDescent="0.3">
      <c r="A2" s="2" t="s">
        <v>7</v>
      </c>
      <c r="B2" s="2" t="s">
        <v>8</v>
      </c>
      <c r="C2" s="2" t="s">
        <v>9</v>
      </c>
      <c r="D2" s="2">
        <v>145</v>
      </c>
      <c r="E2" s="2">
        <v>399</v>
      </c>
      <c r="F2" s="2">
        <v>9</v>
      </c>
      <c r="G2" s="2" t="s">
        <v>10</v>
      </c>
      <c r="H2">
        <f>D2*E2</f>
        <v>57855</v>
      </c>
    </row>
    <row r="3" spans="1:8" x14ac:dyDescent="0.3">
      <c r="A3" s="2" t="s">
        <v>7</v>
      </c>
      <c r="B3" s="2" t="s">
        <v>8</v>
      </c>
      <c r="C3" s="2" t="s">
        <v>11</v>
      </c>
      <c r="D3" s="2">
        <v>230</v>
      </c>
      <c r="E3" s="2">
        <v>99</v>
      </c>
      <c r="F3" s="2">
        <v>6</v>
      </c>
      <c r="G3" s="2" t="s">
        <v>10</v>
      </c>
      <c r="H3">
        <f t="shared" ref="H3:H27" si="0">D3*E3</f>
        <v>22770</v>
      </c>
    </row>
    <row r="4" spans="1:8" x14ac:dyDescent="0.3">
      <c r="A4" s="2" t="s">
        <v>7</v>
      </c>
      <c r="B4" s="2" t="s">
        <v>12</v>
      </c>
      <c r="C4" s="2" t="s">
        <v>13</v>
      </c>
      <c r="D4" s="2">
        <v>180</v>
      </c>
      <c r="E4" s="2">
        <v>149</v>
      </c>
      <c r="F4" s="2">
        <v>4</v>
      </c>
      <c r="G4" s="2" t="s">
        <v>10</v>
      </c>
      <c r="H4">
        <f t="shared" si="0"/>
        <v>26820</v>
      </c>
    </row>
    <row r="5" spans="1:8" x14ac:dyDescent="0.3">
      <c r="A5" s="2" t="s">
        <v>14</v>
      </c>
      <c r="B5" s="2" t="s">
        <v>8</v>
      </c>
      <c r="C5" s="2" t="s">
        <v>9</v>
      </c>
      <c r="D5" s="2">
        <v>112</v>
      </c>
      <c r="E5" s="2">
        <v>399</v>
      </c>
      <c r="F5" s="2">
        <v>7</v>
      </c>
      <c r="G5" s="2" t="s">
        <v>10</v>
      </c>
      <c r="H5">
        <f t="shared" si="0"/>
        <v>44688</v>
      </c>
    </row>
    <row r="6" spans="1:8" x14ac:dyDescent="0.3">
      <c r="A6" s="2" t="s">
        <v>14</v>
      </c>
      <c r="B6" s="2" t="s">
        <v>12</v>
      </c>
      <c r="C6" s="2" t="s">
        <v>15</v>
      </c>
      <c r="D6" s="2">
        <v>195</v>
      </c>
      <c r="E6" s="2">
        <v>79</v>
      </c>
      <c r="F6" s="2">
        <v>14</v>
      </c>
      <c r="G6" s="2" t="s">
        <v>10</v>
      </c>
      <c r="H6">
        <f t="shared" si="0"/>
        <v>15405</v>
      </c>
    </row>
    <row r="7" spans="1:8" x14ac:dyDescent="0.3">
      <c r="A7" s="2" t="s">
        <v>14</v>
      </c>
      <c r="B7" s="2" t="s">
        <v>12</v>
      </c>
      <c r="C7" s="2" t="s">
        <v>16</v>
      </c>
      <c r="D7" s="2">
        <v>68</v>
      </c>
      <c r="E7" s="2">
        <v>249</v>
      </c>
      <c r="F7" s="2">
        <v>3</v>
      </c>
      <c r="G7" s="2" t="s">
        <v>10</v>
      </c>
      <c r="H7">
        <f t="shared" si="0"/>
        <v>16932</v>
      </c>
    </row>
    <row r="8" spans="1:8" x14ac:dyDescent="0.3">
      <c r="A8" s="2" t="s">
        <v>17</v>
      </c>
      <c r="B8" s="2" t="s">
        <v>8</v>
      </c>
      <c r="C8" s="2" t="s">
        <v>9</v>
      </c>
      <c r="D8" s="2">
        <v>98</v>
      </c>
      <c r="E8" s="2">
        <v>399</v>
      </c>
      <c r="F8" s="2">
        <v>5</v>
      </c>
      <c r="G8" s="2" t="s">
        <v>10</v>
      </c>
      <c r="H8">
        <f t="shared" si="0"/>
        <v>39102</v>
      </c>
    </row>
    <row r="9" spans="1:8" x14ac:dyDescent="0.3">
      <c r="A9" s="2" t="s">
        <v>17</v>
      </c>
      <c r="B9" s="2" t="s">
        <v>8</v>
      </c>
      <c r="C9" s="2" t="s">
        <v>11</v>
      </c>
      <c r="D9" s="2">
        <v>175</v>
      </c>
      <c r="E9" s="2">
        <v>99</v>
      </c>
      <c r="F9" s="2">
        <v>4</v>
      </c>
      <c r="G9" s="2" t="s">
        <v>10</v>
      </c>
      <c r="H9">
        <f t="shared" si="0"/>
        <v>17325</v>
      </c>
    </row>
    <row r="10" spans="1:8" x14ac:dyDescent="0.3">
      <c r="A10" s="2" t="s">
        <v>17</v>
      </c>
      <c r="B10" s="2" t="s">
        <v>12</v>
      </c>
      <c r="C10" s="2" t="s">
        <v>13</v>
      </c>
      <c r="D10" s="2">
        <v>155</v>
      </c>
      <c r="E10" s="2">
        <v>149</v>
      </c>
      <c r="F10" s="2">
        <v>6</v>
      </c>
      <c r="G10" s="2" t="s">
        <v>10</v>
      </c>
      <c r="H10">
        <f t="shared" si="0"/>
        <v>23095</v>
      </c>
    </row>
    <row r="11" spans="1:8" x14ac:dyDescent="0.3">
      <c r="A11" s="2" t="s">
        <v>7</v>
      </c>
      <c r="B11" s="2" t="s">
        <v>8</v>
      </c>
      <c r="C11" s="2" t="s">
        <v>9</v>
      </c>
      <c r="D11" s="2">
        <v>160</v>
      </c>
      <c r="E11" s="2">
        <v>399</v>
      </c>
      <c r="F11" s="2">
        <v>11</v>
      </c>
      <c r="G11" s="2" t="s">
        <v>18</v>
      </c>
      <c r="H11">
        <f t="shared" si="0"/>
        <v>63840</v>
      </c>
    </row>
    <row r="12" spans="1:8" x14ac:dyDescent="0.3">
      <c r="A12" s="2" t="s">
        <v>7</v>
      </c>
      <c r="B12" s="2" t="s">
        <v>8</v>
      </c>
      <c r="C12" s="2" t="s">
        <v>11</v>
      </c>
      <c r="D12" s="2">
        <v>215</v>
      </c>
      <c r="E12" s="2">
        <v>99</v>
      </c>
      <c r="F12" s="2">
        <v>5</v>
      </c>
      <c r="G12" s="2" t="s">
        <v>18</v>
      </c>
      <c r="H12">
        <f t="shared" si="0"/>
        <v>21285</v>
      </c>
    </row>
    <row r="13" spans="1:8" x14ac:dyDescent="0.3">
      <c r="A13" s="2" t="s">
        <v>7</v>
      </c>
      <c r="B13" s="2" t="s">
        <v>12</v>
      </c>
      <c r="C13" s="2" t="s">
        <v>13</v>
      </c>
      <c r="D13" s="2">
        <v>165</v>
      </c>
      <c r="E13" s="2">
        <v>149</v>
      </c>
      <c r="F13" s="2">
        <v>3</v>
      </c>
      <c r="G13" s="2" t="s">
        <v>18</v>
      </c>
      <c r="H13">
        <f t="shared" si="0"/>
        <v>24585</v>
      </c>
    </row>
    <row r="14" spans="1:8" x14ac:dyDescent="0.3">
      <c r="A14" s="2" t="s">
        <v>14</v>
      </c>
      <c r="B14" s="2" t="s">
        <v>8</v>
      </c>
      <c r="C14" s="2" t="s">
        <v>9</v>
      </c>
      <c r="D14" s="2">
        <v>135</v>
      </c>
      <c r="E14" s="2">
        <v>399</v>
      </c>
      <c r="F14" s="2">
        <v>8</v>
      </c>
      <c r="G14" s="2" t="s">
        <v>18</v>
      </c>
      <c r="H14">
        <f t="shared" si="0"/>
        <v>53865</v>
      </c>
    </row>
    <row r="15" spans="1:8" x14ac:dyDescent="0.3">
      <c r="A15" s="2" t="s">
        <v>14</v>
      </c>
      <c r="B15" s="2" t="s">
        <v>12</v>
      </c>
      <c r="C15" s="2" t="s">
        <v>15</v>
      </c>
      <c r="D15" s="2">
        <v>180</v>
      </c>
      <c r="E15" s="2">
        <v>79</v>
      </c>
      <c r="F15" s="2">
        <v>12</v>
      </c>
      <c r="G15" s="2" t="s">
        <v>18</v>
      </c>
      <c r="H15">
        <f t="shared" si="0"/>
        <v>14220</v>
      </c>
    </row>
    <row r="16" spans="1:8" x14ac:dyDescent="0.3">
      <c r="A16" s="2" t="s">
        <v>14</v>
      </c>
      <c r="B16" s="2" t="s">
        <v>12</v>
      </c>
      <c r="C16" s="2" t="s">
        <v>16</v>
      </c>
      <c r="D16" s="2">
        <v>72</v>
      </c>
      <c r="E16" s="2">
        <v>249</v>
      </c>
      <c r="F16" s="2">
        <v>2</v>
      </c>
      <c r="G16" s="2" t="s">
        <v>18</v>
      </c>
      <c r="H16">
        <f t="shared" si="0"/>
        <v>17928</v>
      </c>
    </row>
    <row r="17" spans="1:8" x14ac:dyDescent="0.3">
      <c r="A17" s="2" t="s">
        <v>17</v>
      </c>
      <c r="B17" s="2" t="s">
        <v>8</v>
      </c>
      <c r="C17" s="2" t="s">
        <v>9</v>
      </c>
      <c r="D17" s="2">
        <v>120</v>
      </c>
      <c r="E17" s="2">
        <v>399</v>
      </c>
      <c r="F17" s="2">
        <v>6</v>
      </c>
      <c r="G17" s="2" t="s">
        <v>18</v>
      </c>
      <c r="H17">
        <f t="shared" si="0"/>
        <v>47880</v>
      </c>
    </row>
    <row r="18" spans="1:8" x14ac:dyDescent="0.3">
      <c r="A18" s="2" t="s">
        <v>17</v>
      </c>
      <c r="B18" s="2" t="s">
        <v>8</v>
      </c>
      <c r="C18" s="2" t="s">
        <v>11</v>
      </c>
      <c r="D18" s="2">
        <v>190</v>
      </c>
      <c r="E18" s="2">
        <v>99</v>
      </c>
      <c r="F18" s="2">
        <v>5</v>
      </c>
      <c r="G18" s="2" t="s">
        <v>18</v>
      </c>
      <c r="H18">
        <f t="shared" si="0"/>
        <v>18810</v>
      </c>
    </row>
    <row r="19" spans="1:8" x14ac:dyDescent="0.3">
      <c r="A19" s="2" t="s">
        <v>17</v>
      </c>
      <c r="B19" s="2" t="s">
        <v>12</v>
      </c>
      <c r="C19" s="2" t="s">
        <v>13</v>
      </c>
      <c r="D19" s="2">
        <v>140</v>
      </c>
      <c r="E19" s="2">
        <v>149</v>
      </c>
      <c r="F19" s="2">
        <v>4</v>
      </c>
      <c r="G19" s="2" t="s">
        <v>18</v>
      </c>
      <c r="H19">
        <f t="shared" si="0"/>
        <v>20860</v>
      </c>
    </row>
    <row r="20" spans="1:8" x14ac:dyDescent="0.3">
      <c r="A20" s="2" t="s">
        <v>7</v>
      </c>
      <c r="B20" s="2" t="s">
        <v>8</v>
      </c>
      <c r="C20" s="2" t="s">
        <v>9</v>
      </c>
      <c r="D20" s="2">
        <v>172</v>
      </c>
      <c r="E20" s="2">
        <v>399</v>
      </c>
      <c r="F20" s="2">
        <v>13</v>
      </c>
      <c r="G20" s="2" t="s">
        <v>19</v>
      </c>
      <c r="H20">
        <f t="shared" si="0"/>
        <v>68628</v>
      </c>
    </row>
    <row r="21" spans="1:8" x14ac:dyDescent="0.3">
      <c r="A21" s="2" t="s">
        <v>7</v>
      </c>
      <c r="B21" s="2" t="s">
        <v>8</v>
      </c>
      <c r="C21" s="2" t="s">
        <v>11</v>
      </c>
      <c r="D21" s="2">
        <v>245</v>
      </c>
      <c r="E21" s="2">
        <v>99</v>
      </c>
      <c r="F21" s="2">
        <v>7</v>
      </c>
      <c r="G21" s="2" t="s">
        <v>19</v>
      </c>
      <c r="H21">
        <f t="shared" si="0"/>
        <v>24255</v>
      </c>
    </row>
    <row r="22" spans="1:8" x14ac:dyDescent="0.3">
      <c r="A22" s="2" t="s">
        <v>7</v>
      </c>
      <c r="B22" s="2" t="s">
        <v>12</v>
      </c>
      <c r="C22" s="2" t="s">
        <v>13</v>
      </c>
      <c r="D22" s="2">
        <v>158</v>
      </c>
      <c r="E22" s="2">
        <v>149</v>
      </c>
      <c r="F22" s="2">
        <v>5</v>
      </c>
      <c r="G22" s="2" t="s">
        <v>19</v>
      </c>
      <c r="H22">
        <f t="shared" si="0"/>
        <v>23542</v>
      </c>
    </row>
    <row r="23" spans="1:8" x14ac:dyDescent="0.3">
      <c r="A23" s="2" t="s">
        <v>14</v>
      </c>
      <c r="B23" s="2" t="s">
        <v>8</v>
      </c>
      <c r="C23" s="2" t="s">
        <v>9</v>
      </c>
      <c r="D23" s="2">
        <v>148</v>
      </c>
      <c r="E23" s="2">
        <v>399</v>
      </c>
      <c r="F23" s="2">
        <v>9</v>
      </c>
      <c r="G23" s="2" t="s">
        <v>19</v>
      </c>
      <c r="H23">
        <f t="shared" si="0"/>
        <v>59052</v>
      </c>
    </row>
    <row r="24" spans="1:8" x14ac:dyDescent="0.3">
      <c r="A24" s="2" t="s">
        <v>14</v>
      </c>
      <c r="B24" s="2" t="s">
        <v>12</v>
      </c>
      <c r="C24" s="2" t="s">
        <v>15</v>
      </c>
      <c r="D24" s="2">
        <v>210</v>
      </c>
      <c r="E24" s="2">
        <v>79</v>
      </c>
      <c r="F24" s="2">
        <v>15</v>
      </c>
      <c r="G24" s="2" t="s">
        <v>19</v>
      </c>
      <c r="H24">
        <f t="shared" si="0"/>
        <v>16590</v>
      </c>
    </row>
    <row r="25" spans="1:8" x14ac:dyDescent="0.3">
      <c r="A25" s="2" t="s">
        <v>14</v>
      </c>
      <c r="B25" s="2" t="s">
        <v>12</v>
      </c>
      <c r="C25" s="2" t="s">
        <v>16</v>
      </c>
      <c r="D25" s="2">
        <v>85</v>
      </c>
      <c r="E25" s="2">
        <v>249</v>
      </c>
      <c r="F25" s="2">
        <v>4</v>
      </c>
      <c r="G25" s="2" t="s">
        <v>19</v>
      </c>
      <c r="H25">
        <f t="shared" si="0"/>
        <v>21165</v>
      </c>
    </row>
    <row r="26" spans="1:8" x14ac:dyDescent="0.3">
      <c r="A26" s="2" t="s">
        <v>17</v>
      </c>
      <c r="B26" s="2" t="s">
        <v>8</v>
      </c>
      <c r="C26" s="2" t="s">
        <v>9</v>
      </c>
      <c r="D26" s="2">
        <v>133</v>
      </c>
      <c r="E26" s="2">
        <v>399</v>
      </c>
      <c r="F26" s="2">
        <v>7</v>
      </c>
      <c r="G26" s="2" t="s">
        <v>19</v>
      </c>
      <c r="H26">
        <f t="shared" si="0"/>
        <v>53067</v>
      </c>
    </row>
    <row r="27" spans="1:8" x14ac:dyDescent="0.3">
      <c r="A27" s="2" t="s">
        <v>17</v>
      </c>
      <c r="B27" s="2" t="s">
        <v>8</v>
      </c>
      <c r="C27" s="2" t="s">
        <v>11</v>
      </c>
      <c r="D27" s="2">
        <v>200</v>
      </c>
      <c r="E27" s="2">
        <v>99</v>
      </c>
      <c r="F27" s="2">
        <v>6</v>
      </c>
      <c r="G27" s="2" t="s">
        <v>19</v>
      </c>
      <c r="H27">
        <f t="shared" si="0"/>
        <v>19800</v>
      </c>
    </row>
    <row r="28" spans="1:8" x14ac:dyDescent="0.3">
      <c r="A28" s="2" t="s">
        <v>17</v>
      </c>
      <c r="B28" s="2" t="s">
        <v>12</v>
      </c>
      <c r="C28" s="2" t="s">
        <v>13</v>
      </c>
      <c r="D28" s="2">
        <v>148</v>
      </c>
      <c r="E28" s="2">
        <v>149</v>
      </c>
      <c r="F28" s="2">
        <v>3</v>
      </c>
      <c r="G28" s="2" t="s">
        <v>19</v>
      </c>
      <c r="H28">
        <f>D28*E28</f>
        <v>22052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tabSelected="1" topLeftCell="A4" workbookViewId="0">
      <selection activeCell="E28" sqref="E28"/>
    </sheetView>
  </sheetViews>
  <sheetFormatPr defaultRowHeight="14.4" x14ac:dyDescent="0.3"/>
  <cols>
    <col min="1" max="8" width="18" style="11" customWidth="1"/>
    <col min="9" max="16384" width="8.88671875" style="11"/>
  </cols>
  <sheetData>
    <row r="1" spans="1:8" ht="30" customHeight="1" x14ac:dyDescent="0.3">
      <c r="A1" s="9" t="s">
        <v>20</v>
      </c>
      <c r="B1" s="14"/>
      <c r="C1" s="14"/>
      <c r="D1" s="14"/>
      <c r="E1" s="14"/>
      <c r="F1" s="14"/>
      <c r="G1" s="14"/>
      <c r="H1" s="14"/>
    </row>
    <row r="2" spans="1:8" ht="16.05" customHeight="1" x14ac:dyDescent="0.3">
      <c r="A2" s="8" t="s">
        <v>21</v>
      </c>
      <c r="B2" s="14"/>
      <c r="C2" s="14"/>
      <c r="D2" s="14"/>
      <c r="E2" s="14"/>
      <c r="F2" s="14"/>
      <c r="G2" s="14"/>
      <c r="H2" s="14"/>
    </row>
    <row r="3" spans="1:8" x14ac:dyDescent="0.3">
      <c r="A3" s="10"/>
    </row>
    <row r="4" spans="1:8" x14ac:dyDescent="0.3">
      <c r="A4" s="2"/>
    </row>
    <row r="5" spans="1:8" x14ac:dyDescent="0.3">
      <c r="A5" s="2" t="s">
        <v>48</v>
      </c>
      <c r="C5" s="11" t="s">
        <v>49</v>
      </c>
      <c r="E5" s="11" t="s">
        <v>50</v>
      </c>
      <c r="G5" s="11" t="s">
        <v>51</v>
      </c>
    </row>
    <row r="6" spans="1:8" x14ac:dyDescent="0.3">
      <c r="A6" s="17">
        <f>SUM(C12:C16)</f>
        <v>855416</v>
      </c>
      <c r="C6" s="11">
        <f>SUM(B12:B16)</f>
        <v>4234</v>
      </c>
      <c r="E6" s="11">
        <f>SUM(D12:D16)</f>
        <v>183</v>
      </c>
      <c r="G6" s="18">
        <f>E6/C6</f>
        <v>4.3221539914974016E-2</v>
      </c>
    </row>
    <row r="7" spans="1:8" x14ac:dyDescent="0.3">
      <c r="A7" s="2"/>
    </row>
    <row r="8" spans="1:8" x14ac:dyDescent="0.3">
      <c r="A8" s="2"/>
    </row>
    <row r="9" spans="1:8" x14ac:dyDescent="0.3">
      <c r="A9" s="2"/>
    </row>
    <row r="10" spans="1:8" x14ac:dyDescent="0.3">
      <c r="A10" s="2"/>
    </row>
    <row r="11" spans="1:8" x14ac:dyDescent="0.3">
      <c r="A11" s="2" t="s">
        <v>52</v>
      </c>
      <c r="B11" s="11" t="s">
        <v>49</v>
      </c>
      <c r="C11" s="11" t="s">
        <v>53</v>
      </c>
      <c r="D11" s="11" t="s">
        <v>5</v>
      </c>
      <c r="E11" s="11" t="s">
        <v>58</v>
      </c>
    </row>
    <row r="12" spans="1:8" x14ac:dyDescent="0.3">
      <c r="A12" s="2" t="s">
        <v>9</v>
      </c>
      <c r="B12" s="11">
        <f>SUMIF(Product,"Earphones",UnitSold)</f>
        <v>1223</v>
      </c>
      <c r="C12" s="15">
        <f>SUMPRODUCT((Product="Earphones")*UnitSold*PricePerUnit)</f>
        <v>487977</v>
      </c>
      <c r="D12" s="11">
        <f>SUMIF(Product,"Earphones",Returns)</f>
        <v>75</v>
      </c>
      <c r="E12" s="18">
        <f>C12/$A$6</f>
        <v>0.57045577824122995</v>
      </c>
      <c r="F12" s="18"/>
      <c r="G12" s="11" t="s">
        <v>55</v>
      </c>
      <c r="H12" s="15">
        <f>SUMIF('Raw Data'!G2:G28,"Jan",'Raw Data'!H2:H28)</f>
        <v>263992</v>
      </c>
    </row>
    <row r="13" spans="1:8" x14ac:dyDescent="0.3">
      <c r="A13" s="2" t="s">
        <v>11</v>
      </c>
      <c r="B13" s="11">
        <f>SUMIF(Product,"USB Cable",UnitSold)</f>
        <v>1255</v>
      </c>
      <c r="C13" s="15">
        <f>SUMPRODUCT((Product="USB Cable")*UnitSold*PricePerUnit)</f>
        <v>124245</v>
      </c>
      <c r="D13" s="11">
        <f>SUMIF(Product,"USB Cable",Returns)</f>
        <v>33</v>
      </c>
      <c r="E13" s="18">
        <f t="shared" ref="E13:E16" si="0">C13/$A$6</f>
        <v>0.14524512050277291</v>
      </c>
      <c r="F13" s="18"/>
      <c r="G13" s="11" t="s">
        <v>56</v>
      </c>
      <c r="H13" s="15">
        <f>SUMIF('Raw Data'!G2:G28,"FEB",'Raw Data'!H2:H28)</f>
        <v>283273</v>
      </c>
    </row>
    <row r="14" spans="1:8" x14ac:dyDescent="0.3">
      <c r="A14" s="2" t="s">
        <v>13</v>
      </c>
      <c r="B14" s="11">
        <f>SUMIF(Product,"Mobile Cover",UnitSold)</f>
        <v>946</v>
      </c>
      <c r="C14" s="15">
        <f>SUMPRODUCT((Product="Mobile Cover")*UnitSold*PricePerUnit)</f>
        <v>140954</v>
      </c>
      <c r="D14" s="11">
        <f>SUMIF(Product,"Mobile Cover",Returns)</f>
        <v>25</v>
      </c>
      <c r="E14" s="18">
        <f t="shared" si="0"/>
        <v>0.16477830669522198</v>
      </c>
      <c r="F14" s="18"/>
      <c r="G14" s="11" t="s">
        <v>57</v>
      </c>
      <c r="H14" s="15">
        <f>SUMIF('Raw Data'!G2:G28,"Mar",'Raw Data'!H2:H28)</f>
        <v>308151</v>
      </c>
    </row>
    <row r="15" spans="1:8" x14ac:dyDescent="0.3">
      <c r="A15" s="2" t="s">
        <v>15</v>
      </c>
      <c r="B15" s="11">
        <f>SUMIF(Product,"Screen Guard",UnitSold)</f>
        <v>585</v>
      </c>
      <c r="C15" s="15">
        <f>SUMPRODUCT((Product="Screen Guard")*UnitSold*PricePerUnit)</f>
        <v>46215</v>
      </c>
      <c r="D15" s="11">
        <f>SUMIF(Product,"Screen Guard",Returns)</f>
        <v>41</v>
      </c>
      <c r="E15" s="18">
        <f t="shared" si="0"/>
        <v>5.4026345076547549E-2</v>
      </c>
      <c r="F15" s="18"/>
    </row>
    <row r="16" spans="1:8" x14ac:dyDescent="0.3">
      <c r="A16" s="2" t="s">
        <v>16</v>
      </c>
      <c r="B16" s="11">
        <f>SUMIF(Product,"Phone Stand",UnitSold)</f>
        <v>225</v>
      </c>
      <c r="C16" s="15">
        <f>SUMPRODUCT((Product="Phone Stand")*UnitSold*PricePerUnit)</f>
        <v>56025</v>
      </c>
      <c r="D16" s="11">
        <f>SUMIF(Product,"Phone Stand",Returns)</f>
        <v>9</v>
      </c>
      <c r="E16" s="18">
        <f t="shared" si="0"/>
        <v>6.5494449484227557E-2</v>
      </c>
      <c r="F16" s="18"/>
    </row>
    <row r="17" spans="1:5" x14ac:dyDescent="0.3">
      <c r="A17" s="2"/>
      <c r="C17" s="15"/>
      <c r="E17" s="18"/>
    </row>
    <row r="18" spans="1:5" x14ac:dyDescent="0.3">
      <c r="A18" s="2"/>
    </row>
    <row r="19" spans="1:5" x14ac:dyDescent="0.3">
      <c r="A19" s="2"/>
    </row>
    <row r="20" spans="1:5" x14ac:dyDescent="0.3">
      <c r="A20" s="2" t="s">
        <v>54</v>
      </c>
      <c r="B20" s="11" t="s">
        <v>53</v>
      </c>
    </row>
    <row r="21" spans="1:5" x14ac:dyDescent="0.3">
      <c r="A21" s="2" t="s">
        <v>7</v>
      </c>
      <c r="B21" s="15">
        <f>SUMIF(City,"Delhi",'Raw Data'!H2:H28)</f>
        <v>333580</v>
      </c>
    </row>
    <row r="22" spans="1:5" x14ac:dyDescent="0.3">
      <c r="A22" s="2" t="s">
        <v>14</v>
      </c>
      <c r="B22" s="15">
        <f>SUMIF(City,"Mumbai",'Raw Data'!H2:H28)</f>
        <v>259845</v>
      </c>
    </row>
    <row r="23" spans="1:5" x14ac:dyDescent="0.3">
      <c r="A23" s="2" t="s">
        <v>17</v>
      </c>
      <c r="B23" s="15">
        <f>SUMIF(City,"Bengaluru",'Raw Data'!H2:H28)</f>
        <v>261991</v>
      </c>
    </row>
    <row r="24" spans="1:5" x14ac:dyDescent="0.3">
      <c r="A24" s="2"/>
    </row>
    <row r="25" spans="1:5" x14ac:dyDescent="0.3">
      <c r="A25" s="12" t="s">
        <v>59</v>
      </c>
      <c r="B25" s="12"/>
      <c r="C25" s="12"/>
      <c r="D25" s="12"/>
      <c r="E25" s="12"/>
    </row>
    <row r="26" spans="1:5" x14ac:dyDescent="0.3">
      <c r="A26" s="12" t="s">
        <v>60</v>
      </c>
      <c r="B26" s="12"/>
      <c r="C26" s="12"/>
      <c r="D26" s="12"/>
      <c r="E26" s="12"/>
    </row>
    <row r="27" spans="1:5" x14ac:dyDescent="0.3">
      <c r="A27" s="13" t="s">
        <v>61</v>
      </c>
      <c r="B27" s="12"/>
      <c r="C27" s="12"/>
      <c r="D27" s="12"/>
      <c r="E27" s="12"/>
    </row>
    <row r="28" spans="1:5" x14ac:dyDescent="0.3">
      <c r="A28" s="2"/>
    </row>
    <row r="29" spans="1:5" x14ac:dyDescent="0.3">
      <c r="A29" s="2"/>
    </row>
    <row r="30" spans="1:5" x14ac:dyDescent="0.3">
      <c r="A30" s="2"/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1"/>
  <sheetViews>
    <sheetView topLeftCell="A16" workbookViewId="0">
      <selection activeCell="A43" sqref="A43"/>
    </sheetView>
  </sheetViews>
  <sheetFormatPr defaultRowHeight="14.4" x14ac:dyDescent="0.3"/>
  <cols>
    <col min="1" max="1" width="80" customWidth="1"/>
  </cols>
  <sheetData>
    <row r="1" spans="1:1" ht="16.05" customHeight="1" x14ac:dyDescent="0.3">
      <c r="A1" s="3" t="s">
        <v>22</v>
      </c>
    </row>
    <row r="2" spans="1:1" ht="16.05" customHeight="1" x14ac:dyDescent="0.3">
      <c r="A2" s="4"/>
    </row>
    <row r="3" spans="1:1" ht="16.05" customHeight="1" x14ac:dyDescent="0.3">
      <c r="A3" s="5" t="s">
        <v>23</v>
      </c>
    </row>
    <row r="4" spans="1:1" ht="16.05" customHeight="1" x14ac:dyDescent="0.3">
      <c r="A4" s="6" t="s">
        <v>24</v>
      </c>
    </row>
    <row r="5" spans="1:1" ht="16.05" customHeight="1" x14ac:dyDescent="0.3">
      <c r="A5" s="4"/>
    </row>
    <row r="6" spans="1:1" ht="16.05" customHeight="1" x14ac:dyDescent="0.3">
      <c r="A6" s="5" t="s">
        <v>25</v>
      </c>
    </row>
    <row r="7" spans="1:1" ht="16.05" customHeight="1" x14ac:dyDescent="0.3">
      <c r="A7" s="6" t="s">
        <v>26</v>
      </c>
    </row>
    <row r="8" spans="1:1" ht="16.05" customHeight="1" x14ac:dyDescent="0.3">
      <c r="A8" s="6" t="s">
        <v>27</v>
      </c>
    </row>
    <row r="9" spans="1:1" ht="16.05" customHeight="1" x14ac:dyDescent="0.3">
      <c r="A9" s="6" t="s">
        <v>28</v>
      </c>
    </row>
    <row r="10" spans="1:1" ht="16.05" customHeight="1" x14ac:dyDescent="0.3">
      <c r="A10" s="6" t="s">
        <v>29</v>
      </c>
    </row>
    <row r="11" spans="1:1" ht="16.05" customHeight="1" x14ac:dyDescent="0.3">
      <c r="A11" s="6" t="s">
        <v>30</v>
      </c>
    </row>
    <row r="12" spans="1:1" ht="16.05" customHeight="1" x14ac:dyDescent="0.3">
      <c r="A12" s="6" t="s">
        <v>31</v>
      </c>
    </row>
    <row r="13" spans="1:1" ht="16.05" customHeight="1" x14ac:dyDescent="0.3">
      <c r="A13" s="4"/>
    </row>
    <row r="14" spans="1:1" ht="16.05" customHeight="1" x14ac:dyDescent="0.3">
      <c r="A14" s="5" t="s">
        <v>32</v>
      </c>
    </row>
    <row r="15" spans="1:1" ht="16.05" customHeight="1" x14ac:dyDescent="0.3">
      <c r="A15" s="6" t="s">
        <v>33</v>
      </c>
    </row>
    <row r="16" spans="1:1" ht="16.05" customHeight="1" x14ac:dyDescent="0.3">
      <c r="A16" s="6" t="s">
        <v>34</v>
      </c>
    </row>
    <row r="17" spans="1:1" ht="16.05" customHeight="1" x14ac:dyDescent="0.3">
      <c r="A17" s="6" t="s">
        <v>35</v>
      </c>
    </row>
    <row r="18" spans="1:1" ht="16.05" customHeight="1" x14ac:dyDescent="0.3">
      <c r="A18" s="6" t="s">
        <v>36</v>
      </c>
    </row>
    <row r="19" spans="1:1" ht="16.05" customHeight="1" x14ac:dyDescent="0.3">
      <c r="A19" s="6" t="s">
        <v>37</v>
      </c>
    </row>
    <row r="20" spans="1:1" ht="16.05" customHeight="1" x14ac:dyDescent="0.3">
      <c r="A20" s="4"/>
    </row>
    <row r="21" spans="1:1" ht="16.05" customHeight="1" x14ac:dyDescent="0.3">
      <c r="A21" s="5" t="s">
        <v>38</v>
      </c>
    </row>
    <row r="22" spans="1:1" ht="16.05" customHeight="1" x14ac:dyDescent="0.3">
      <c r="A22" s="6" t="s">
        <v>39</v>
      </c>
    </row>
    <row r="23" spans="1:1" ht="16.05" customHeight="1" x14ac:dyDescent="0.3">
      <c r="A23" s="6" t="s">
        <v>40</v>
      </c>
    </row>
    <row r="24" spans="1:1" ht="16.05" customHeight="1" x14ac:dyDescent="0.3">
      <c r="A24" s="6" t="s">
        <v>41</v>
      </c>
    </row>
    <row r="25" spans="1:1" ht="16.05" customHeight="1" x14ac:dyDescent="0.3">
      <c r="A25" s="6" t="s">
        <v>42</v>
      </c>
    </row>
    <row r="26" spans="1:1" ht="16.05" customHeight="1" x14ac:dyDescent="0.3">
      <c r="A26" s="6" t="s">
        <v>43</v>
      </c>
    </row>
    <row r="27" spans="1:1" ht="16.05" customHeight="1" x14ac:dyDescent="0.3">
      <c r="A27" s="4"/>
    </row>
    <row r="28" spans="1:1" ht="16.05" customHeight="1" x14ac:dyDescent="0.3">
      <c r="A28" s="5" t="s">
        <v>44</v>
      </c>
    </row>
    <row r="29" spans="1:1" ht="16.05" customHeight="1" x14ac:dyDescent="0.3">
      <c r="A29" s="6" t="s">
        <v>45</v>
      </c>
    </row>
    <row r="30" spans="1:1" ht="16.05" customHeight="1" x14ac:dyDescent="0.3">
      <c r="A30" s="7" t="s">
        <v>46</v>
      </c>
    </row>
    <row r="31" spans="1:1" ht="16.05" customHeight="1" x14ac:dyDescent="0.3">
      <c r="A31" s="7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Raw Data</vt:lpstr>
      <vt:lpstr>Dashboard</vt:lpstr>
      <vt:lpstr>Client Brief</vt:lpstr>
      <vt:lpstr>Category</vt:lpstr>
      <vt:lpstr>City</vt:lpstr>
      <vt:lpstr>PricePerUnit</vt:lpstr>
      <vt:lpstr>Product</vt:lpstr>
      <vt:lpstr>Returns</vt:lpstr>
      <vt:lpstr>UnitSold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2026-03-31T07:35:23Z</dcterms:created>
  <dcterms:modified xsi:type="dcterms:W3CDTF">2026-03-31T13:36:55Z</dcterms:modified>
</cp:coreProperties>
</file>