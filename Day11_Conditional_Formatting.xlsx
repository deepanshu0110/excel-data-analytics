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30c6ebe1e7ac33e/Desktop/Excel/"/>
    </mc:Choice>
  </mc:AlternateContent>
  <xr:revisionPtr revIDLastSave="6" documentId="11_6C78D91273D53F4ACBF6622E1C7F127D969991CD" xr6:coauthVersionLast="47" xr6:coauthVersionMax="47" xr10:uidLastSave="{CEB4B57D-F5C5-4A63-922B-AE706FE01EC5}"/>
  <bookViews>
    <workbookView xWindow="-108" yWindow="-108" windowWidth="23256" windowHeight="12456" tabRatio="500" activeTab="1" xr2:uid="{00000000-000D-0000-FFFF-FFFF00000000}"/>
  </bookViews>
  <sheets>
    <sheet name="Sales Dashboard" sheetId="1" r:id="rId1"/>
    <sheet name="Practice Lab" sheetId="2" r:id="rId2"/>
    <sheet name="Concept Notes" sheetId="3" r:id="rId3"/>
    <sheet name="Scoring Guide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3" l="1"/>
  <c r="C15" i="3"/>
  <c r="C14" i="3"/>
  <c r="C13" i="3"/>
  <c r="F16" i="2"/>
  <c r="F15" i="2"/>
  <c r="F14" i="2"/>
  <c r="F13" i="2"/>
  <c r="F12" i="2"/>
  <c r="F11" i="2"/>
  <c r="F10" i="2"/>
  <c r="F9" i="2"/>
  <c r="F8" i="2"/>
  <c r="F7" i="2"/>
  <c r="F6" i="2"/>
  <c r="F5" i="2"/>
  <c r="H20" i="1"/>
  <c r="G20" i="1"/>
  <c r="F20" i="1"/>
  <c r="E20" i="1"/>
  <c r="D20" i="1"/>
  <c r="J19" i="1"/>
  <c r="I19" i="1"/>
  <c r="G19" i="1"/>
  <c r="J18" i="1"/>
  <c r="I18" i="1"/>
  <c r="G18" i="1"/>
  <c r="J17" i="1"/>
  <c r="I17" i="1"/>
  <c r="G17" i="1"/>
  <c r="J16" i="1"/>
  <c r="I16" i="1"/>
  <c r="G16" i="1"/>
  <c r="J15" i="1"/>
  <c r="I15" i="1"/>
  <c r="G15" i="1"/>
  <c r="J14" i="1"/>
  <c r="I14" i="1"/>
  <c r="G14" i="1"/>
  <c r="J13" i="1"/>
  <c r="I13" i="1"/>
  <c r="G13" i="1"/>
  <c r="J12" i="1"/>
  <c r="I12" i="1"/>
  <c r="G12" i="1"/>
  <c r="J11" i="1"/>
  <c r="I11" i="1"/>
  <c r="G11" i="1"/>
  <c r="J10" i="1"/>
  <c r="I10" i="1"/>
  <c r="G10" i="1"/>
  <c r="J9" i="1"/>
  <c r="I9" i="1"/>
  <c r="G9" i="1"/>
  <c r="J8" i="1"/>
  <c r="I8" i="1"/>
  <c r="G8" i="1"/>
  <c r="J7" i="1"/>
  <c r="I7" i="1"/>
  <c r="G7" i="1"/>
  <c r="J6" i="1"/>
  <c r="I6" i="1"/>
  <c r="G6" i="1"/>
  <c r="J5" i="1"/>
  <c r="I5" i="1"/>
  <c r="G5" i="1"/>
</calcChain>
</file>

<file path=xl/sharedStrings.xml><?xml version="1.0" encoding="utf-8"?>
<sst xmlns="http://schemas.openxmlformats.org/spreadsheetml/2006/main" count="239" uniqueCount="208">
  <si>
    <t>DAY 11 — SALES PERFORMANCE DASHBOARD  |  Conditional Formatting (Advanced)</t>
  </si>
  <si>
    <t>Topic: Colour Scales · Data Bars · Icon Sets · Formula-Based Rules  |  Apply CF to tell a visual story instantly</t>
  </si>
  <si>
    <t>Sales Rep</t>
  </si>
  <si>
    <t>Region</t>
  </si>
  <si>
    <t>Q1 Revenue</t>
  </si>
  <si>
    <t>Q2 Revenue</t>
  </si>
  <si>
    <t>Q3 Revenue</t>
  </si>
  <si>
    <t>Total Revenue</t>
  </si>
  <si>
    <t>vs Target (%)</t>
  </si>
  <si>
    <t>Status Flag</t>
  </si>
  <si>
    <t>Action</t>
  </si>
  <si>
    <t>Arjun Mehta</t>
  </si>
  <si>
    <t>North</t>
  </si>
  <si>
    <t>Priya Nair</t>
  </si>
  <si>
    <t>South</t>
  </si>
  <si>
    <t>Rohan Verma</t>
  </si>
  <si>
    <t>West</t>
  </si>
  <si>
    <t>Sneha Iyer</t>
  </si>
  <si>
    <t>East</t>
  </si>
  <si>
    <t>Vikram Das</t>
  </si>
  <si>
    <t>Anita Joshi</t>
  </si>
  <si>
    <t>Karan Singh</t>
  </si>
  <si>
    <t>Meera Pillai</t>
  </si>
  <si>
    <t>Saurabh Tiwari</t>
  </si>
  <si>
    <t>Divya Shah</t>
  </si>
  <si>
    <t>Rahul Gupta</t>
  </si>
  <si>
    <t>Pooja Mishra</t>
  </si>
  <si>
    <t>Amit Bhatt</t>
  </si>
  <si>
    <t>Nisha Kapoor</t>
  </si>
  <si>
    <t>Deepak Rao</t>
  </si>
  <si>
    <t>TEAM TOTAL</t>
  </si>
  <si>
    <t>▶  CONDITIONAL FORMATTING LEGEND  ◀</t>
  </si>
  <si>
    <t>CF Rule</t>
  </si>
  <si>
    <t>Where Applied</t>
  </si>
  <si>
    <t>What It Shows</t>
  </si>
  <si>
    <t>Business Value</t>
  </si>
  <si>
    <t>Colour Scale</t>
  </si>
  <si>
    <t>Q1 / Q2 / Q3 Columns</t>
  </si>
  <si>
    <t>Red = lowest, Green = highest revenue</t>
  </si>
  <si>
    <t>Spot weak/strong quarters instantly</t>
  </si>
  <si>
    <t>Data Bar</t>
  </si>
  <si>
    <t>Total Revenue column</t>
  </si>
  <si>
    <t>Bar length = total earnings proportion</t>
  </si>
  <si>
    <t>Compare reps without reading numbers</t>
  </si>
  <si>
    <t>Icon Set (Arrows)</t>
  </si>
  <si>
    <t>vs Target % column</t>
  </si>
  <si>
    <t>↑ On/above target  ↓ Below target</t>
  </si>
  <si>
    <t>Attention-guiding in executive reports</t>
  </si>
  <si>
    <t>Formula Rule (R)</t>
  </si>
  <si>
    <t>Entire row — Critical</t>
  </si>
  <si>
    <t>Row turns red if vs Target &lt; 85%</t>
  </si>
  <si>
    <t>Managers see risk rows at a glance</t>
  </si>
  <si>
    <t>Formula Rule (G)</t>
  </si>
  <si>
    <t>Entire row — Exceeds</t>
  </si>
  <si>
    <t>Row turns green if vs Target ≥ 110%</t>
  </si>
  <si>
    <t>Celebrate top performers visually</t>
  </si>
  <si>
    <t>DAY 11 — PRACTICE LAB  |  Apply Conditional Formatting Independently</t>
  </si>
  <si>
    <t>Instructions: Apply the 5 CF rules listed in the Task Card below. No hand-holding — you decide the range and rule type.</t>
  </si>
  <si>
    <t>Product</t>
  </si>
  <si>
    <t>Category</t>
  </si>
  <si>
    <t>Units Sold</t>
  </si>
  <si>
    <t>Avg Price</t>
  </si>
  <si>
    <t>Revenue</t>
  </si>
  <si>
    <t>Return Rate %</t>
  </si>
  <si>
    <t>Profit Margin %</t>
  </si>
  <si>
    <t>Smart TV 55"</t>
  </si>
  <si>
    <t>Electronics</t>
  </si>
  <si>
    <t>Laptop Pro 14</t>
  </si>
  <si>
    <t>Air Fryer XL</t>
  </si>
  <si>
    <t>Appliances</t>
  </si>
  <si>
    <t>Running Shoes M</t>
  </si>
  <si>
    <t>Footwear</t>
  </si>
  <si>
    <t>Bluetooth Speaker</t>
  </si>
  <si>
    <t>Washing Machine</t>
  </si>
  <si>
    <t>Yoga Mat Premium</t>
  </si>
  <si>
    <t>Fitness</t>
  </si>
  <si>
    <t>Office Chair Ergo</t>
  </si>
  <si>
    <t>Furniture</t>
  </si>
  <si>
    <t>Protein Powder 2kg</t>
  </si>
  <si>
    <t>Nutrition</t>
  </si>
  <si>
    <t>Noise Cancel HP</t>
  </si>
  <si>
    <t>Sofa 3-Seater</t>
  </si>
  <si>
    <t>Cycling Helmet</t>
  </si>
  <si>
    <t>✏  TASK CARD — YOUR 5 CF CHALLENGES  ✏</t>
  </si>
  <si>
    <t>Task 1 ★</t>
  </si>
  <si>
    <t>D5:D16 (Units Sold)</t>
  </si>
  <si>
    <t>Apply a Green-Yellow-Red 3-colour scale</t>
  </si>
  <si>
    <t>Which products have highest/lowest volume?</t>
  </si>
  <si>
    <t>Task 2 ★★</t>
  </si>
  <si>
    <t>F5:F16 (Revenue)</t>
  </si>
  <si>
    <t>Add a solid blue data bar to Revenue column</t>
  </si>
  <si>
    <t>Visualise top revenue earners without numbers</t>
  </si>
  <si>
    <t>Task 3 ★★</t>
  </si>
  <si>
    <t>Icon Set</t>
  </si>
  <si>
    <t>G5:G16 (Return Rate %)</t>
  </si>
  <si>
    <t>Use 3 Traffic Lights (Red/Yellow/Green icon set). Threshold: &lt;3%, 3-6%, &gt;6%</t>
  </si>
  <si>
    <t>Flag high-return products for quality review</t>
  </si>
  <si>
    <t>Task 4 ★★★</t>
  </si>
  <si>
    <t>Formula Rule</t>
  </si>
  <si>
    <t>B5:H16 (entire row)</t>
  </si>
  <si>
    <t>Formula: =$H5&gt;=0.40 → Green fill, bold font. Highlights high-margin rows.</t>
  </si>
  <si>
    <t>Premium product rows stand out for buyers</t>
  </si>
  <si>
    <t>Task 5 ★★★</t>
  </si>
  <si>
    <t>Formula: =$G5&gt;0.07 → Red fill. Products with &gt;7% return rate flagged.</t>
  </si>
  <si>
    <t>Operations team sees problem products instantly</t>
  </si>
  <si>
    <t>DAY 11 — CONCEPT NOTES  |  Conditional Formatting Reference Guide</t>
  </si>
  <si>
    <t>CF TYPE</t>
  </si>
  <si>
    <t>HOW TO ACCESS</t>
  </si>
  <si>
    <t>WHEN TO USE</t>
  </si>
  <si>
    <t>BUSINESS EXAMPLE</t>
  </si>
  <si>
    <t>Home → Conditional Formatting → Colour Scales</t>
  </si>
  <si>
    <t>Continuous numeric comparison across a range</t>
  </si>
  <si>
    <t>Revenue heatmap across product categories</t>
  </si>
  <si>
    <t>Home → Conditional Formatting → Data Bars</t>
  </si>
  <si>
    <t>Show proportional size within a column</t>
  </si>
  <si>
    <t>Sales volume bar chart inside a cell</t>
  </si>
  <si>
    <t>Home → Conditional Formatting → Icon Sets</t>
  </si>
  <si>
    <t>3-5 threshold-based status indicators</t>
  </si>
  <si>
    <t>KPI dashboard with up/down/neutral arrows</t>
  </si>
  <si>
    <t>Highlight Cell Rules</t>
  </si>
  <si>
    <t>Home → CF → Highlight Cell Rules</t>
  </si>
  <si>
    <t>Flag specific values (duplicates, top 10, etc.)</t>
  </si>
  <si>
    <t>Mark duplicate order IDs or late deliveries</t>
  </si>
  <si>
    <t>Formula-Based Rule</t>
  </si>
  <si>
    <t>Home → CF → New Rule → Use a formula</t>
  </si>
  <si>
    <t>Complex multi-column logic, whole-row colouring</t>
  </si>
  <si>
    <t>Highlight entire row if margin &lt; 15%</t>
  </si>
  <si>
    <t>Top/Bottom Rules</t>
  </si>
  <si>
    <t>Home → CF → Top/Bottom Rules</t>
  </si>
  <si>
    <t>Rank-based highlighting (Top 10%, bottom N)</t>
  </si>
  <si>
    <t>Spotlight top 5 reps out of 50 in a table</t>
  </si>
  <si>
    <t>FORMULA-BASED RULE — SYNTAX REFERENCE  (Most Important for Analysts)</t>
  </si>
  <si>
    <t>RULE</t>
  </si>
  <si>
    <t>FORMULA</t>
  </si>
  <si>
    <t>EXPLANATION</t>
  </si>
  <si>
    <t>Whole-row red if sales &lt; 50000</t>
  </si>
  <si>
    <t>Lock column C with $, leave row relative so each row tests itself</t>
  </si>
  <si>
    <t>Whole-row green if margin ≥ 40%</t>
  </si>
  <si>
    <t>Applies green to entire row when column F passes threshold</t>
  </si>
  <si>
    <t>Flag rows where two conditions are true</t>
  </si>
  <si>
    <t>High revenue AND low return rate → premium performers</t>
  </si>
  <si>
    <t>Alternate row shading (zebra stripes)</t>
  </si>
  <si>
    <t>MOD(ROW(),2) returns 0 for even rows → apply light grey fill</t>
  </si>
  <si>
    <t>Highlight if value is above average</t>
  </si>
  <si>
    <t xml:space="preserve"> =$C5&gt;AVERAGE($C$5:$C$100)</t>
  </si>
  <si>
    <t>Dollar-lock the AVERAGE range; leave row relative for row-by-row test</t>
  </si>
  <si>
    <t>COMMON MISTAKES → FIXES</t>
  </si>
  <si>
    <t>MISTAKE</t>
  </si>
  <si>
    <t>WHY IT FAILS</t>
  </si>
  <si>
    <t>FIX</t>
  </si>
  <si>
    <t>Using relative ref in formula rule: =C5&gt;0</t>
  </si>
  <si>
    <t>When CF evaluates row 8, it shifts to C8 correctly — but if applied to multiple columns, the column shifts too</t>
  </si>
  <si>
    <t>Lock the column: =$C5&gt;0  Always $ on the column in whole-row rules</t>
  </si>
  <si>
    <t>Rule order wrong — red fires before green</t>
  </si>
  <si>
    <t>CF rules are evaluated top-to-bottom; first matching rule wins</t>
  </si>
  <si>
    <t>Open Manage Rules (CF menu) → drag most specific rule to the TOP</t>
  </si>
  <si>
    <t>Applying CF to entire sheet (A:XFD)</t>
  </si>
  <si>
    <t>Excel slows dramatically; file size bloats</t>
  </si>
  <si>
    <t>Always apply CF to a specific table range like B5:J19</t>
  </si>
  <si>
    <t>Not locking AVERAGE range in formula</t>
  </si>
  <si>
    <t xml:space="preserve"> =AVERAGE(C5:C100) in cf shifts per row → wrong average each time</t>
  </si>
  <si>
    <t>Use =AVERAGE($C$5:$C$100) — lock both row and column of the range</t>
  </si>
  <si>
    <t>DAY 11 — SCORING GUIDE  |  Total: 50 Points</t>
  </si>
  <si>
    <t>Task</t>
  </si>
  <si>
    <t>CF Type</t>
  </si>
  <si>
    <t>Success Criteria</t>
  </si>
  <si>
    <t>Business Justification</t>
  </si>
  <si>
    <t>Points</t>
  </si>
  <si>
    <t>Task 1</t>
  </si>
  <si>
    <t>Colour scale applied to D5:D16. Low units = red, high = green</t>
  </si>
  <si>
    <t>Volume spread visible without sorting</t>
  </si>
  <si>
    <t>8</t>
  </si>
  <si>
    <t>Task 2</t>
  </si>
  <si>
    <t>Blue data bar visible in F5:F16 (Revenue column)</t>
  </si>
  <si>
    <t>Proportional revenue comparison in-cell</t>
  </si>
  <si>
    <t>Task 3</t>
  </si>
  <si>
    <t>Traffic light icons in G5:G16. &gt;7% return = red light</t>
  </si>
  <si>
    <t>Quality control flags for operations team</t>
  </si>
  <si>
    <t>10</t>
  </si>
  <si>
    <t>Task 4</t>
  </si>
  <si>
    <t>≡$H5&gt;≡0.4 — entire row turns green for margin ≥ 40%</t>
  </si>
  <si>
    <t>Buyers/product team spots premium lines fast</t>
  </si>
  <si>
    <t>12</t>
  </si>
  <si>
    <t>Task 5</t>
  </si>
  <si>
    <t>≡$G5&gt;0.07 — entire row turns red for return rate &gt;7%</t>
  </si>
  <si>
    <t>Alerts supply chain to return-heavy products</t>
  </si>
  <si>
    <t>TOTAL</t>
  </si>
  <si>
    <t>50</t>
  </si>
  <si>
    <t>GRADING BANDS</t>
  </si>
  <si>
    <t>46 – 50</t>
  </si>
  <si>
    <t>Distinction</t>
  </si>
  <si>
    <t>Ready for Week 3 Mini-Project</t>
  </si>
  <si>
    <t>38 – 45</t>
  </si>
  <si>
    <t>Pass</t>
  </si>
  <si>
    <t>Solid — review formula rule logic</t>
  </si>
  <si>
    <t>28 – 37</t>
  </si>
  <si>
    <t>Needs Work</t>
  </si>
  <si>
    <t>Redo Tasks 4 &amp; 5 before proceeding</t>
  </si>
  <si>
    <t>0 – 27</t>
  </si>
  <si>
    <t>Re-attempt Day</t>
  </si>
  <si>
    <t>Re-read Concept Notes, retry all tasks</t>
  </si>
  <si>
    <t>KEY TAKEAWAYS — DAY 11</t>
  </si>
  <si>
    <t>1. Formula-based CF is the most powerful tool in Excel dashboards — it colours ROWS based on ANY column's value.</t>
  </si>
  <si>
    <t>2. Always lock the column ($C5) in formula rules for whole-row CF. Forgetting $ is the #1 beginner mistake.</t>
  </si>
  <si>
    <t>3. Rule ORDER matters — Excel fires the FIRST matching rule. Most specific rule must be at the TOP.</t>
  </si>
  <si>
    <t>4. Colour Scale = gradient insight. Data Bars = visual magnitude. Icon Sets = threshold status. Use the right one.</t>
  </si>
  <si>
    <t>5. In client deliverables, CF replaces manual highlighting — it auto-updates when data changes.</t>
  </si>
  <si>
    <t>INTERVIEW TIP: 'How do you highlight rows where both revenue &gt; 100K AND margin &lt; 20%?' → =AND($C5&gt;100000,$D5&lt;0.2)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</si>
</sst>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sz val="9"/>
      <color rgb="FFC00000"/>
      <name val="Arial"/>
      <charset val="1"/>
    </font>
    <font>
      <sz val="9"/>
      <color rgb="FF375623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A5C2A"/>
      <name val="Arial"/>
      <charset val="1"/>
    </font>
    <font>
      <i/>
      <sz val="9"/>
      <color rgb="FF1A5C2A"/>
      <name val="Arial"/>
      <charset val="1"/>
    </font>
    <font>
      <b/>
      <sz val="10"/>
      <color rgb="FF1F3864"/>
      <name val="Arial"/>
      <charset val="1"/>
    </font>
    <font>
      <i/>
      <sz val="9"/>
      <color rgb="FF1F3864"/>
      <name val="Arial"/>
      <charset val="1"/>
    </font>
    <font>
      <b/>
      <sz val="10"/>
      <color rgb="FF7F6000"/>
      <name val="Arial"/>
      <charset val="1"/>
    </font>
    <font>
      <i/>
      <sz val="9"/>
      <color rgb="FF7F6000"/>
      <name val="Arial"/>
      <charset val="1"/>
    </font>
    <font>
      <i/>
      <sz val="9"/>
      <color rgb="FF000000"/>
      <name val="Arial"/>
      <charset val="1"/>
    </font>
    <font>
      <sz val="10"/>
      <color rgb="FF1A5C2A"/>
      <name val="Arial"/>
      <charset val="1"/>
    </font>
    <font>
      <b/>
      <sz val="10"/>
      <color rgb="FF2E5EAA"/>
      <name val="Arial"/>
      <charset val="1"/>
    </font>
    <font>
      <sz val="10"/>
      <color rgb="FF2E5EAA"/>
      <name val="Arial"/>
      <charset val="1"/>
    </font>
    <font>
      <b/>
      <sz val="10"/>
      <color rgb="FF843C0C"/>
      <name val="Arial"/>
      <charset val="1"/>
    </font>
    <font>
      <sz val="10"/>
      <color rgb="FF843C0C"/>
      <name val="Arial"/>
      <charset val="1"/>
    </font>
    <font>
      <b/>
      <sz val="10"/>
      <color rgb="FFC00000"/>
      <name val="Arial"/>
      <charset val="1"/>
    </font>
    <font>
      <sz val="10"/>
      <color rgb="FFC00000"/>
      <name val="Arial"/>
      <charset val="1"/>
    </font>
    <font>
      <b/>
      <i/>
      <sz val="9"/>
      <color rgb="FF7F600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EAA"/>
        <bgColor rgb="FF3366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8F8EC"/>
      </patternFill>
    </fill>
    <fill>
      <patternFill patternType="solid">
        <fgColor rgb="FFFFE0E0"/>
        <bgColor rgb="FFFCE4D6"/>
      </patternFill>
    </fill>
    <fill>
      <patternFill patternType="solid">
        <fgColor rgb="FFE2EFDA"/>
        <bgColor rgb="FFD5F0D5"/>
      </patternFill>
    </fill>
    <fill>
      <patternFill patternType="solid">
        <fgColor rgb="FFE8F8EC"/>
        <bgColor rgb="FFF2F2F2"/>
      </patternFill>
    </fill>
    <fill>
      <patternFill patternType="solid">
        <fgColor rgb="FFD9E8F5"/>
        <bgColor rgb="FFD9F0F0"/>
      </patternFill>
    </fill>
    <fill>
      <patternFill patternType="solid">
        <fgColor rgb="FFFFF2CC"/>
        <bgColor rgb="FFFFF0E5"/>
      </patternFill>
    </fill>
    <fill>
      <patternFill patternType="solid">
        <fgColor rgb="FF1A5C2A"/>
        <bgColor rgb="FF375623"/>
      </patternFill>
    </fill>
    <fill>
      <patternFill patternType="solid">
        <fgColor rgb="FFD9F0F0"/>
        <bgColor rgb="FFD9E8F5"/>
      </patternFill>
    </fill>
    <fill>
      <patternFill patternType="solid">
        <fgColor rgb="FFC00000"/>
        <bgColor rgb="FF800000"/>
      </patternFill>
    </fill>
    <fill>
      <patternFill patternType="solid">
        <fgColor rgb="FFFDECEA"/>
        <bgColor rgb="FFFFF0E5"/>
      </patternFill>
    </fill>
    <fill>
      <patternFill patternType="solid">
        <fgColor rgb="FFFFF0E5"/>
        <bgColor rgb="FFFDECEA"/>
      </patternFill>
    </fill>
    <fill>
      <patternFill patternType="solid">
        <fgColor rgb="FFFCE4D6"/>
        <bgColor rgb="FFFFE0E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6" fillId="10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13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right" vertical="center"/>
    </xf>
    <xf numFmtId="9" fontId="4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9" fontId="3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6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7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7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8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9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12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3" borderId="1" xfId="0" applyFont="1" applyFill="1" applyBorder="1"/>
    <xf numFmtId="0" fontId="7" fillId="14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/>
    </xf>
    <xf numFmtId="0" fontId="20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22" fillId="16" borderId="1" xfId="0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horizontal="left" vertical="center"/>
    </xf>
    <xf numFmtId="0" fontId="0" fillId="16" borderId="1" xfId="0" applyFill="1" applyBorder="1"/>
    <xf numFmtId="0" fontId="24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left" vertical="center"/>
    </xf>
    <xf numFmtId="10" fontId="5" fillId="4" borderId="1" xfId="0" applyNumberFormat="1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sz val="10"/>
        <color rgb="FF1A5C2A"/>
        <name val="Arial"/>
        <charset val="1"/>
      </font>
      <fill>
        <patternFill>
          <bgColor rgb="FFD5F0D5"/>
        </patternFill>
      </fill>
    </dxf>
    <dxf>
      <font>
        <b/>
        <sz val="10"/>
        <color rgb="FFC00000"/>
        <name val="Arial"/>
        <charset val="1"/>
      </font>
      <fill>
        <patternFill>
          <bgColor rgb="FFFF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DECEA"/>
      <rgbColor rgb="FFFF00FF"/>
      <rgbColor rgb="FF00FFFF"/>
      <rgbColor rgb="FF800000"/>
      <rgbColor rgb="FF1A5C2A"/>
      <rgbColor rgb="FF000080"/>
      <rgbColor rgb="FF7F6000"/>
      <rgbColor rgb="FF800080"/>
      <rgbColor rgb="FF008080"/>
      <rgbColor rgb="FFE2EFDA"/>
      <rgbColor rgb="FF808080"/>
      <rgbColor rgb="FF9999FF"/>
      <rgbColor rgb="FF993366"/>
      <rgbColor rgb="FFFFF2CC"/>
      <rgbColor rgb="FFD9F0F0"/>
      <rgbColor rgb="FF660066"/>
      <rgbColor rgb="FFFF8080"/>
      <rgbColor rgb="FF2E5EAA"/>
      <rgbColor rgb="FFD9E8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8EC"/>
      <rgbColor rgb="FFD5F0D5"/>
      <rgbColor rgb="FFFFF0E5"/>
      <rgbColor rgb="FFF2F2F2"/>
      <rgbColor rgb="FFFFE0E0"/>
      <rgbColor rgb="FFFCE4D6"/>
      <rgbColor rgb="FFFFD9D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843C0C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J28"/>
  <sheetViews>
    <sheetView showGridLines="0" zoomScaleNormal="100" workbookViewId="0">
      <pane ySplit="4" topLeftCell="A17" activePane="bottomLeft" state="frozen"/>
      <selection pane="bottomLeft" activeCell="H17" sqref="H17"/>
    </sheetView>
  </sheetViews>
  <sheetFormatPr defaultColWidth="8.6640625" defaultRowHeight="14.4" x14ac:dyDescent="0.3"/>
  <cols>
    <col min="1" max="1" width="3" customWidth="1"/>
    <col min="2" max="2" width="22" customWidth="1"/>
    <col min="3" max="5" width="14" customWidth="1"/>
    <col min="6" max="7" width="16" customWidth="1"/>
    <col min="8" max="9" width="18" customWidth="1"/>
    <col min="10" max="10" width="17.109375" customWidth="1"/>
  </cols>
  <sheetData>
    <row r="1" spans="2:10" ht="7.5" customHeight="1" x14ac:dyDescent="0.3"/>
    <row r="2" spans="2:10" ht="36" customHeight="1" x14ac:dyDescent="0.3">
      <c r="B2" s="14" t="s">
        <v>0</v>
      </c>
      <c r="C2" s="14"/>
      <c r="D2" s="14"/>
      <c r="E2" s="14"/>
      <c r="F2" s="14"/>
      <c r="G2" s="14"/>
      <c r="H2" s="14"/>
      <c r="I2" s="14"/>
    </row>
    <row r="3" spans="2:10" ht="30" customHeight="1" x14ac:dyDescent="0.3">
      <c r="B3" s="13" t="s">
        <v>1</v>
      </c>
      <c r="C3" s="13"/>
      <c r="D3" s="13"/>
      <c r="E3" s="13"/>
      <c r="F3" s="13"/>
      <c r="G3" s="13"/>
      <c r="H3" s="13"/>
      <c r="I3" s="13"/>
    </row>
    <row r="4" spans="2:10" ht="27.75" customHeight="1" x14ac:dyDescent="0.3"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</row>
    <row r="5" spans="2:10" ht="21.75" customHeight="1" x14ac:dyDescent="0.3">
      <c r="B5" s="16" t="s">
        <v>11</v>
      </c>
      <c r="C5" s="17" t="s">
        <v>12</v>
      </c>
      <c r="D5" s="18">
        <v>182000</v>
      </c>
      <c r="E5" s="18">
        <v>201000</v>
      </c>
      <c r="F5" s="18">
        <v>219000</v>
      </c>
      <c r="G5" s="18">
        <f t="shared" ref="G5:G19" si="0">D5+E5+F5</f>
        <v>602000</v>
      </c>
      <c r="H5" s="19">
        <v>1.08</v>
      </c>
      <c r="I5" s="17" t="str">
        <f t="shared" ref="I5:I19" si="1">IF(H5&gt;=1.1,"★ Exceeds Target",IF(H5&gt;=1,"✓ On Target",IF(H5&gt;=0.85,"⚠ Below Target","✗ Critical")))</f>
        <v>✓ On Target</v>
      </c>
      <c r="J5" s="20" t="str">
        <f t="shared" ref="J5:J19" si="2">IF(H5&gt;=1.1,"Reward + Upsell",IF(H5&gt;=1,"Maintain",IF(H5&gt;=0.85,"Coaching Plan","Urgent Review")))</f>
        <v>Maintain</v>
      </c>
    </row>
    <row r="6" spans="2:10" ht="15" customHeight="1" x14ac:dyDescent="0.3">
      <c r="B6" s="21" t="s">
        <v>13</v>
      </c>
      <c r="C6" s="22" t="s">
        <v>14</v>
      </c>
      <c r="D6" s="23">
        <v>145000</v>
      </c>
      <c r="E6" s="23">
        <v>138000</v>
      </c>
      <c r="F6" s="23">
        <v>152000</v>
      </c>
      <c r="G6" s="23">
        <f t="shared" si="0"/>
        <v>435000</v>
      </c>
      <c r="H6" s="24">
        <v>0.94</v>
      </c>
      <c r="I6" s="22" t="str">
        <f t="shared" si="1"/>
        <v>⚠ Below Target</v>
      </c>
      <c r="J6" s="25" t="str">
        <f t="shared" si="2"/>
        <v>Coaching Plan</v>
      </c>
    </row>
    <row r="7" spans="2:10" ht="15" customHeight="1" x14ac:dyDescent="0.3">
      <c r="B7" s="16" t="s">
        <v>15</v>
      </c>
      <c r="C7" s="17" t="s">
        <v>16</v>
      </c>
      <c r="D7" s="18">
        <v>210000</v>
      </c>
      <c r="E7" s="18">
        <v>225000</v>
      </c>
      <c r="F7" s="18">
        <v>240000</v>
      </c>
      <c r="G7" s="18">
        <f t="shared" si="0"/>
        <v>675000</v>
      </c>
      <c r="H7" s="19">
        <v>1.17</v>
      </c>
      <c r="I7" s="17" t="str">
        <f t="shared" si="1"/>
        <v>★ Exceeds Target</v>
      </c>
      <c r="J7" s="20" t="str">
        <f t="shared" si="2"/>
        <v>Reward + Upsell</v>
      </c>
    </row>
    <row r="8" spans="2:10" ht="15" customHeight="1" x14ac:dyDescent="0.3">
      <c r="B8" s="21" t="s">
        <v>17</v>
      </c>
      <c r="C8" s="22" t="s">
        <v>18</v>
      </c>
      <c r="D8" s="23">
        <v>98000</v>
      </c>
      <c r="E8" s="23">
        <v>105000</v>
      </c>
      <c r="F8" s="23">
        <v>112000</v>
      </c>
      <c r="G8" s="23">
        <f t="shared" si="0"/>
        <v>315000</v>
      </c>
      <c r="H8" s="24">
        <v>0.82</v>
      </c>
      <c r="I8" s="22" t="str">
        <f t="shared" si="1"/>
        <v>✗ Critical</v>
      </c>
      <c r="J8" s="25" t="str">
        <f t="shared" si="2"/>
        <v>Urgent Review</v>
      </c>
    </row>
    <row r="9" spans="2:10" ht="15" customHeight="1" x14ac:dyDescent="0.3">
      <c r="B9" s="16" t="s">
        <v>19</v>
      </c>
      <c r="C9" s="17" t="s">
        <v>12</v>
      </c>
      <c r="D9" s="18">
        <v>175000</v>
      </c>
      <c r="E9" s="18">
        <v>180000</v>
      </c>
      <c r="F9" s="18">
        <v>190000</v>
      </c>
      <c r="G9" s="18">
        <f t="shared" si="0"/>
        <v>545000</v>
      </c>
      <c r="H9" s="19">
        <v>1.01</v>
      </c>
      <c r="I9" s="17" t="str">
        <f t="shared" si="1"/>
        <v>✓ On Target</v>
      </c>
      <c r="J9" s="20" t="str">
        <f t="shared" si="2"/>
        <v>Maintain</v>
      </c>
    </row>
    <row r="10" spans="2:10" ht="15" customHeight="1" x14ac:dyDescent="0.3">
      <c r="B10" s="21" t="s">
        <v>20</v>
      </c>
      <c r="C10" s="22" t="s">
        <v>14</v>
      </c>
      <c r="D10" s="23">
        <v>88000</v>
      </c>
      <c r="E10" s="23">
        <v>76000</v>
      </c>
      <c r="F10" s="23">
        <v>69000</v>
      </c>
      <c r="G10" s="23">
        <f t="shared" si="0"/>
        <v>233000</v>
      </c>
      <c r="H10" s="24">
        <v>0.71</v>
      </c>
      <c r="I10" s="22" t="str">
        <f t="shared" si="1"/>
        <v>✗ Critical</v>
      </c>
      <c r="J10" s="25" t="str">
        <f t="shared" si="2"/>
        <v>Urgent Review</v>
      </c>
    </row>
    <row r="11" spans="2:10" ht="15" customHeight="1" x14ac:dyDescent="0.3">
      <c r="B11" s="16" t="s">
        <v>21</v>
      </c>
      <c r="C11" s="17" t="s">
        <v>16</v>
      </c>
      <c r="D11" s="18">
        <v>230000</v>
      </c>
      <c r="E11" s="18">
        <v>245000</v>
      </c>
      <c r="F11" s="18">
        <v>261000</v>
      </c>
      <c r="G11" s="18">
        <f t="shared" si="0"/>
        <v>736000</v>
      </c>
      <c r="H11" s="19">
        <v>1.24</v>
      </c>
      <c r="I11" s="17" t="str">
        <f t="shared" si="1"/>
        <v>★ Exceeds Target</v>
      </c>
      <c r="J11" s="20" t="str">
        <f t="shared" si="2"/>
        <v>Reward + Upsell</v>
      </c>
    </row>
    <row r="12" spans="2:10" ht="15" customHeight="1" x14ac:dyDescent="0.3">
      <c r="B12" s="21" t="s">
        <v>22</v>
      </c>
      <c r="C12" s="22" t="s">
        <v>18</v>
      </c>
      <c r="D12" s="23">
        <v>160000</v>
      </c>
      <c r="E12" s="23">
        <v>155000</v>
      </c>
      <c r="F12" s="23">
        <v>162000</v>
      </c>
      <c r="G12" s="23">
        <f t="shared" si="0"/>
        <v>477000</v>
      </c>
      <c r="H12" s="24">
        <v>0.96</v>
      </c>
      <c r="I12" s="22" t="str">
        <f t="shared" si="1"/>
        <v>⚠ Below Target</v>
      </c>
      <c r="J12" s="25" t="str">
        <f t="shared" si="2"/>
        <v>Coaching Plan</v>
      </c>
    </row>
    <row r="13" spans="2:10" ht="15" customHeight="1" x14ac:dyDescent="0.3">
      <c r="B13" s="16" t="s">
        <v>23</v>
      </c>
      <c r="C13" s="17" t="s">
        <v>12</v>
      </c>
      <c r="D13" s="18">
        <v>120000</v>
      </c>
      <c r="E13" s="18">
        <v>132000</v>
      </c>
      <c r="F13" s="18">
        <v>145000</v>
      </c>
      <c r="G13" s="18">
        <f t="shared" si="0"/>
        <v>397000</v>
      </c>
      <c r="H13" s="19">
        <v>0.9</v>
      </c>
      <c r="I13" s="17" t="str">
        <f t="shared" si="1"/>
        <v>⚠ Below Target</v>
      </c>
      <c r="J13" s="20" t="str">
        <f t="shared" si="2"/>
        <v>Coaching Plan</v>
      </c>
    </row>
    <row r="14" spans="2:10" ht="15" customHeight="1" x14ac:dyDescent="0.3">
      <c r="B14" s="21" t="s">
        <v>24</v>
      </c>
      <c r="C14" s="22" t="s">
        <v>14</v>
      </c>
      <c r="D14" s="23">
        <v>195000</v>
      </c>
      <c r="E14" s="23">
        <v>210000</v>
      </c>
      <c r="F14" s="23">
        <v>228000</v>
      </c>
      <c r="G14" s="23">
        <f t="shared" si="0"/>
        <v>633000</v>
      </c>
      <c r="H14" s="24">
        <v>1.1399999999999999</v>
      </c>
      <c r="I14" s="22" t="str">
        <f t="shared" si="1"/>
        <v>★ Exceeds Target</v>
      </c>
      <c r="J14" s="25" t="str">
        <f t="shared" si="2"/>
        <v>Reward + Upsell</v>
      </c>
    </row>
    <row r="15" spans="2:10" ht="15" customHeight="1" x14ac:dyDescent="0.3">
      <c r="B15" s="16" t="s">
        <v>25</v>
      </c>
      <c r="C15" s="17" t="s">
        <v>16</v>
      </c>
      <c r="D15" s="18">
        <v>142000</v>
      </c>
      <c r="E15" s="18">
        <v>138000</v>
      </c>
      <c r="F15" s="18">
        <v>130000</v>
      </c>
      <c r="G15" s="18">
        <f t="shared" si="0"/>
        <v>410000</v>
      </c>
      <c r="H15" s="19">
        <v>0.88</v>
      </c>
      <c r="I15" s="17" t="str">
        <f t="shared" si="1"/>
        <v>⚠ Below Target</v>
      </c>
      <c r="J15" s="20" t="str">
        <f t="shared" si="2"/>
        <v>Coaching Plan</v>
      </c>
    </row>
    <row r="16" spans="2:10" ht="15" customHeight="1" x14ac:dyDescent="0.3">
      <c r="B16" s="21" t="s">
        <v>26</v>
      </c>
      <c r="C16" s="22" t="s">
        <v>18</v>
      </c>
      <c r="D16" s="23">
        <v>78000</v>
      </c>
      <c r="E16" s="23">
        <v>82000</v>
      </c>
      <c r="F16" s="23">
        <v>79000</v>
      </c>
      <c r="G16" s="23">
        <f t="shared" si="0"/>
        <v>239000</v>
      </c>
      <c r="H16" s="24">
        <v>0.74</v>
      </c>
      <c r="I16" s="22" t="str">
        <f t="shared" si="1"/>
        <v>✗ Critical</v>
      </c>
      <c r="J16" s="25" t="str">
        <f t="shared" si="2"/>
        <v>Urgent Review</v>
      </c>
    </row>
    <row r="17" spans="2:10" ht="15" customHeight="1" x14ac:dyDescent="0.3">
      <c r="B17" s="16" t="s">
        <v>27</v>
      </c>
      <c r="C17" s="17" t="s">
        <v>12</v>
      </c>
      <c r="D17" s="18">
        <v>205000</v>
      </c>
      <c r="E17" s="18">
        <v>218000</v>
      </c>
      <c r="F17" s="18">
        <v>235000</v>
      </c>
      <c r="G17" s="18">
        <f t="shared" si="0"/>
        <v>658000</v>
      </c>
      <c r="H17" s="19">
        <v>1.1499999999999999</v>
      </c>
      <c r="I17" s="17" t="str">
        <f t="shared" si="1"/>
        <v>★ Exceeds Target</v>
      </c>
      <c r="J17" s="20" t="str">
        <f t="shared" si="2"/>
        <v>Reward + Upsell</v>
      </c>
    </row>
    <row r="18" spans="2:10" ht="15" customHeight="1" x14ac:dyDescent="0.3">
      <c r="B18" s="21" t="s">
        <v>28</v>
      </c>
      <c r="C18" s="22" t="s">
        <v>14</v>
      </c>
      <c r="D18" s="23">
        <v>165000</v>
      </c>
      <c r="E18" s="23">
        <v>170000</v>
      </c>
      <c r="F18" s="23">
        <v>182000</v>
      </c>
      <c r="G18" s="23">
        <f t="shared" si="0"/>
        <v>517000</v>
      </c>
      <c r="H18" s="24">
        <v>1.03</v>
      </c>
      <c r="I18" s="22" t="str">
        <f t="shared" si="1"/>
        <v>✓ On Target</v>
      </c>
      <c r="J18" s="25" t="str">
        <f t="shared" si="2"/>
        <v>Maintain</v>
      </c>
    </row>
    <row r="19" spans="2:10" ht="15" customHeight="1" x14ac:dyDescent="0.3">
      <c r="B19" s="16" t="s">
        <v>29</v>
      </c>
      <c r="C19" s="17" t="s">
        <v>16</v>
      </c>
      <c r="D19" s="18">
        <v>110000</v>
      </c>
      <c r="E19" s="18">
        <v>104000</v>
      </c>
      <c r="F19" s="18">
        <v>98000</v>
      </c>
      <c r="G19" s="18">
        <f t="shared" si="0"/>
        <v>312000</v>
      </c>
      <c r="H19" s="19">
        <v>0.79</v>
      </c>
      <c r="I19" s="17" t="str">
        <f t="shared" si="1"/>
        <v>✗ Critical</v>
      </c>
      <c r="J19" s="20" t="str">
        <f t="shared" si="2"/>
        <v>Urgent Review</v>
      </c>
    </row>
    <row r="20" spans="2:10" ht="15" customHeight="1" x14ac:dyDescent="0.3">
      <c r="B20" s="12" t="s">
        <v>30</v>
      </c>
      <c r="C20" s="12"/>
      <c r="D20" s="26">
        <f>SUM(D5:D19)</f>
        <v>2303000</v>
      </c>
      <c r="E20" s="26">
        <f>SUM(E5:E19)</f>
        <v>2379000</v>
      </c>
      <c r="F20" s="26">
        <f>SUM(F5:F19)</f>
        <v>2502000</v>
      </c>
      <c r="G20" s="26">
        <f>SUM(G5:G19)</f>
        <v>7184000</v>
      </c>
      <c r="H20" s="27">
        <f>AVERAGE(H5:H19)</f>
        <v>0.97066666666666679</v>
      </c>
      <c r="I20" s="28"/>
      <c r="J20" s="28"/>
    </row>
    <row r="22" spans="2:10" ht="21.75" customHeight="1" x14ac:dyDescent="0.3">
      <c r="B22" s="11" t="s">
        <v>31</v>
      </c>
      <c r="C22" s="11"/>
      <c r="D22" s="11"/>
      <c r="E22" s="11"/>
      <c r="F22" s="11"/>
      <c r="G22" s="11"/>
      <c r="H22" s="11"/>
      <c r="I22" s="11"/>
    </row>
    <row r="23" spans="2:10" ht="19.5" customHeight="1" x14ac:dyDescent="0.3">
      <c r="B23" s="29" t="s">
        <v>32</v>
      </c>
      <c r="C23" s="29" t="s">
        <v>33</v>
      </c>
      <c r="D23" s="30"/>
      <c r="E23" s="29" t="s">
        <v>34</v>
      </c>
      <c r="F23" s="30"/>
      <c r="G23" s="29" t="s">
        <v>35</v>
      </c>
      <c r="H23" s="30"/>
      <c r="I23" s="30"/>
    </row>
    <row r="24" spans="2:10" ht="37.799999999999997" customHeight="1" x14ac:dyDescent="0.3">
      <c r="B24" s="31" t="s">
        <v>36</v>
      </c>
      <c r="C24" s="31" t="s">
        <v>37</v>
      </c>
      <c r="D24" s="32"/>
      <c r="E24" s="31" t="s">
        <v>38</v>
      </c>
      <c r="F24" s="32"/>
      <c r="G24" s="31" t="s">
        <v>39</v>
      </c>
      <c r="H24" s="32"/>
      <c r="I24" s="32"/>
    </row>
    <row r="25" spans="2:10" ht="37.799999999999997" customHeight="1" x14ac:dyDescent="0.3">
      <c r="B25" s="33" t="s">
        <v>40</v>
      </c>
      <c r="C25" s="33" t="s">
        <v>41</v>
      </c>
      <c r="D25" s="34"/>
      <c r="E25" s="33" t="s">
        <v>42</v>
      </c>
      <c r="F25" s="34"/>
      <c r="G25" s="33" t="s">
        <v>43</v>
      </c>
      <c r="H25" s="34"/>
      <c r="I25" s="34"/>
    </row>
    <row r="26" spans="2:10" ht="37.799999999999997" customHeight="1" x14ac:dyDescent="0.3">
      <c r="B26" s="35" t="s">
        <v>44</v>
      </c>
      <c r="C26" s="35" t="s">
        <v>45</v>
      </c>
      <c r="D26" s="36"/>
      <c r="E26" s="35" t="s">
        <v>46</v>
      </c>
      <c r="F26" s="36"/>
      <c r="G26" s="35" t="s">
        <v>47</v>
      </c>
      <c r="H26" s="36"/>
      <c r="I26" s="36"/>
    </row>
    <row r="27" spans="2:10" ht="37.799999999999997" customHeight="1" x14ac:dyDescent="0.3">
      <c r="B27" s="37" t="s">
        <v>48</v>
      </c>
      <c r="C27" s="37" t="s">
        <v>49</v>
      </c>
      <c r="D27" s="38"/>
      <c r="E27" s="37" t="s">
        <v>50</v>
      </c>
      <c r="F27" s="38"/>
      <c r="G27" s="37" t="s">
        <v>51</v>
      </c>
      <c r="H27" s="38"/>
      <c r="I27" s="38"/>
    </row>
    <row r="28" spans="2:10" ht="37.799999999999997" customHeight="1" x14ac:dyDescent="0.3">
      <c r="B28" s="31" t="s">
        <v>52</v>
      </c>
      <c r="C28" s="31" t="s">
        <v>53</v>
      </c>
      <c r="D28" s="32"/>
      <c r="E28" s="31" t="s">
        <v>54</v>
      </c>
      <c r="F28" s="32"/>
      <c r="G28" s="31" t="s">
        <v>55</v>
      </c>
      <c r="H28" s="32"/>
      <c r="I28" s="32"/>
    </row>
  </sheetData>
  <mergeCells count="4">
    <mergeCell ref="B2:I2"/>
    <mergeCell ref="B3:I3"/>
    <mergeCell ref="B20:C20"/>
    <mergeCell ref="B22:I22"/>
  </mergeCells>
  <conditionalFormatting sqref="B5:J19">
    <cfRule type="expression" dxfId="19" priority="7">
      <formula>$H5&lt;0.85</formula>
    </cfRule>
    <cfRule type="expression" dxfId="18" priority="8">
      <formula>$H5&gt;=1.1</formula>
    </cfRule>
  </conditionalFormatting>
  <conditionalFormatting sqref="D5:D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19">
    <cfRule type="dataBar" priority="5">
      <dataBar>
        <cfvo type="min"/>
        <cfvo type="max"/>
        <color rgb="FF2E5EAA"/>
      </dataBar>
      <extLst>
        <ext xmlns:x14="http://schemas.microsoft.com/office/spreadsheetml/2009/9/main" uri="{B025F937-C7B1-47D3-B67F-A62EFF666E3E}">
          <x14:id>{7012ED9C-58D0-44BD-8A9C-21FFD8EA9020}</x14:id>
        </ext>
      </extLst>
    </cfRule>
  </conditionalFormatting>
  <conditionalFormatting sqref="H5:H19">
    <cfRule type="iconSet" priority="6">
      <iconSet iconSet="3Arrows">
        <cfvo type="percent" val="0"/>
        <cfvo type="percent" val="40"/>
        <cfvo type="percent" val="70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12ED9C-58D0-44BD-8A9C-21FFD8EA9020}">
            <x14:dataBar axisPosition="none">
              <x14:cfvo type="min"/>
              <x14:cfvo type="max"/>
              <x14:negativeFillColor rgb="FF2E5EAA"/>
            </x14:dataBar>
          </x14:cfRule>
          <xm:sqref>G5:G19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B1:H23"/>
  <sheetViews>
    <sheetView showGridLines="0" tabSelected="1" zoomScaleNormal="100" workbookViewId="0">
      <selection activeCell="G10" sqref="G10"/>
    </sheetView>
  </sheetViews>
  <sheetFormatPr defaultColWidth="8.6640625" defaultRowHeight="14.4" x14ac:dyDescent="0.3"/>
  <cols>
    <col min="1" max="1" width="3" customWidth="1"/>
    <col min="2" max="2" width="22" customWidth="1"/>
    <col min="3" max="3" width="14" customWidth="1"/>
    <col min="4" max="4" width="19.5546875" customWidth="1"/>
    <col min="5" max="5" width="14" customWidth="1"/>
    <col min="6" max="6" width="16" customWidth="1"/>
    <col min="7" max="7" width="20" customWidth="1"/>
    <col min="8" max="8" width="24" customWidth="1"/>
    <col min="9" max="9" width="3" customWidth="1"/>
  </cols>
  <sheetData>
    <row r="1" spans="2:8" ht="7.5" customHeight="1" x14ac:dyDescent="0.3"/>
    <row r="2" spans="2:8" ht="36" customHeight="1" x14ac:dyDescent="0.3">
      <c r="B2" s="10" t="s">
        <v>56</v>
      </c>
      <c r="C2" s="10"/>
      <c r="D2" s="10"/>
      <c r="E2" s="10"/>
      <c r="F2" s="10"/>
      <c r="G2" s="10"/>
      <c r="H2" s="10"/>
    </row>
    <row r="3" spans="2:8" ht="30" customHeight="1" x14ac:dyDescent="0.3">
      <c r="B3" s="13" t="s">
        <v>57</v>
      </c>
      <c r="C3" s="13"/>
      <c r="D3" s="13"/>
      <c r="E3" s="13"/>
      <c r="F3" s="13"/>
      <c r="G3" s="13"/>
      <c r="H3" s="13"/>
    </row>
    <row r="4" spans="2:8" ht="15" customHeight="1" x14ac:dyDescent="0.3">
      <c r="B4" s="15" t="s">
        <v>58</v>
      </c>
      <c r="C4" s="15" t="s">
        <v>59</v>
      </c>
      <c r="D4" s="15" t="s">
        <v>60</v>
      </c>
      <c r="E4" s="15" t="s">
        <v>61</v>
      </c>
      <c r="F4" s="15" t="s">
        <v>62</v>
      </c>
      <c r="G4" s="15" t="s">
        <v>63</v>
      </c>
      <c r="H4" s="15" t="s">
        <v>64</v>
      </c>
    </row>
    <row r="5" spans="2:8" ht="15" customHeight="1" x14ac:dyDescent="0.3">
      <c r="B5" s="16" t="s">
        <v>65</v>
      </c>
      <c r="C5" s="17" t="s">
        <v>66</v>
      </c>
      <c r="D5" s="18">
        <v>320</v>
      </c>
      <c r="E5" s="18">
        <v>28500</v>
      </c>
      <c r="F5" s="18">
        <f t="shared" ref="F5:F16" si="0">D5*E5</f>
        <v>9120000</v>
      </c>
      <c r="G5" s="73">
        <v>4.2000000000000003E-2</v>
      </c>
      <c r="H5" s="73">
        <v>0.185</v>
      </c>
    </row>
    <row r="6" spans="2:8" ht="15" customHeight="1" x14ac:dyDescent="0.3">
      <c r="B6" s="21" t="s">
        <v>67</v>
      </c>
      <c r="C6" s="22" t="s">
        <v>66</v>
      </c>
      <c r="D6" s="23">
        <v>185</v>
      </c>
      <c r="E6" s="23">
        <v>62000</v>
      </c>
      <c r="F6" s="23">
        <f t="shared" si="0"/>
        <v>11470000</v>
      </c>
      <c r="G6" s="74">
        <v>2.8000000000000001E-2</v>
      </c>
      <c r="H6" s="74">
        <v>0.221</v>
      </c>
    </row>
    <row r="7" spans="2:8" ht="15" customHeight="1" x14ac:dyDescent="0.3">
      <c r="B7" s="16" t="s">
        <v>68</v>
      </c>
      <c r="C7" s="17" t="s">
        <v>69</v>
      </c>
      <c r="D7" s="18">
        <v>540</v>
      </c>
      <c r="E7" s="18">
        <v>4200</v>
      </c>
      <c r="F7" s="18">
        <f t="shared" si="0"/>
        <v>2268000</v>
      </c>
      <c r="G7" s="73">
        <v>6.0999999999999999E-2</v>
      </c>
      <c r="H7" s="73">
        <v>0.314</v>
      </c>
    </row>
    <row r="8" spans="2:8" ht="15" customHeight="1" x14ac:dyDescent="0.3">
      <c r="B8" s="21" t="s">
        <v>70</v>
      </c>
      <c r="C8" s="22" t="s">
        <v>71</v>
      </c>
      <c r="D8" s="23">
        <v>870</v>
      </c>
      <c r="E8" s="23">
        <v>2800</v>
      </c>
      <c r="F8" s="23">
        <f t="shared" si="0"/>
        <v>2436000</v>
      </c>
      <c r="G8" s="74">
        <v>8.8999999999999996E-2</v>
      </c>
      <c r="H8" s="74">
        <v>0.42</v>
      </c>
    </row>
    <row r="9" spans="2:8" ht="15" customHeight="1" x14ac:dyDescent="0.3">
      <c r="B9" s="16" t="s">
        <v>72</v>
      </c>
      <c r="C9" s="17" t="s">
        <v>66</v>
      </c>
      <c r="D9" s="18">
        <v>1240</v>
      </c>
      <c r="E9" s="18">
        <v>1800</v>
      </c>
      <c r="F9" s="18">
        <f t="shared" si="0"/>
        <v>2232000</v>
      </c>
      <c r="G9" s="73">
        <v>3.5000000000000003E-2</v>
      </c>
      <c r="H9" s="73">
        <v>0.28599999999999998</v>
      </c>
    </row>
    <row r="10" spans="2:8" ht="15" customHeight="1" x14ac:dyDescent="0.3">
      <c r="B10" s="21" t="s">
        <v>73</v>
      </c>
      <c r="C10" s="22" t="s">
        <v>69</v>
      </c>
      <c r="D10" s="23">
        <v>210</v>
      </c>
      <c r="E10" s="23">
        <v>32000</v>
      </c>
      <c r="F10" s="23">
        <f t="shared" si="0"/>
        <v>6720000</v>
      </c>
      <c r="G10" s="74">
        <v>1.9E-2</v>
      </c>
      <c r="H10" s="74">
        <v>0.152</v>
      </c>
    </row>
    <row r="11" spans="2:8" ht="15" customHeight="1" x14ac:dyDescent="0.3">
      <c r="B11" s="16" t="s">
        <v>74</v>
      </c>
      <c r="C11" s="17" t="s">
        <v>75</v>
      </c>
      <c r="D11" s="18">
        <v>960</v>
      </c>
      <c r="E11" s="18">
        <v>1200</v>
      </c>
      <c r="F11" s="18">
        <f t="shared" si="0"/>
        <v>1152000</v>
      </c>
      <c r="G11" s="73">
        <v>2.1000000000000001E-2</v>
      </c>
      <c r="H11" s="73">
        <v>0.55000000000000004</v>
      </c>
    </row>
    <row r="12" spans="2:8" ht="15" customHeight="1" x14ac:dyDescent="0.3">
      <c r="B12" s="21" t="s">
        <v>76</v>
      </c>
      <c r="C12" s="22" t="s">
        <v>77</v>
      </c>
      <c r="D12" s="23">
        <v>430</v>
      </c>
      <c r="E12" s="23">
        <v>8500</v>
      </c>
      <c r="F12" s="23">
        <f t="shared" si="0"/>
        <v>3655000</v>
      </c>
      <c r="G12" s="74">
        <v>5.3999999999999999E-2</v>
      </c>
      <c r="H12" s="74">
        <v>0.248</v>
      </c>
    </row>
    <row r="13" spans="2:8" ht="15" customHeight="1" x14ac:dyDescent="0.3">
      <c r="B13" s="16" t="s">
        <v>78</v>
      </c>
      <c r="C13" s="17" t="s">
        <v>79</v>
      </c>
      <c r="D13" s="18">
        <v>1580</v>
      </c>
      <c r="E13" s="18">
        <v>2200</v>
      </c>
      <c r="F13" s="18">
        <f t="shared" si="0"/>
        <v>3476000</v>
      </c>
      <c r="G13" s="73">
        <v>1.2E-2</v>
      </c>
      <c r="H13" s="73">
        <v>0.48299999999999998</v>
      </c>
    </row>
    <row r="14" spans="2:8" ht="15" customHeight="1" x14ac:dyDescent="0.3">
      <c r="B14" s="21" t="s">
        <v>80</v>
      </c>
      <c r="C14" s="22" t="s">
        <v>66</v>
      </c>
      <c r="D14" s="23">
        <v>675</v>
      </c>
      <c r="E14" s="23">
        <v>4800</v>
      </c>
      <c r="F14" s="23">
        <f t="shared" si="0"/>
        <v>3240000</v>
      </c>
      <c r="G14" s="74">
        <v>7.2999999999999995E-2</v>
      </c>
      <c r="H14" s="74">
        <v>0.19700000000000001</v>
      </c>
    </row>
    <row r="15" spans="2:8" ht="15" customHeight="1" x14ac:dyDescent="0.3">
      <c r="B15" s="16" t="s">
        <v>81</v>
      </c>
      <c r="C15" s="17" t="s">
        <v>77</v>
      </c>
      <c r="D15" s="18">
        <v>95</v>
      </c>
      <c r="E15" s="18">
        <v>45000</v>
      </c>
      <c r="F15" s="18">
        <f t="shared" si="0"/>
        <v>4275000</v>
      </c>
      <c r="G15" s="73">
        <v>3.7999999999999999E-2</v>
      </c>
      <c r="H15" s="73">
        <v>0.124</v>
      </c>
    </row>
    <row r="16" spans="2:8" ht="15" customHeight="1" x14ac:dyDescent="0.3">
      <c r="B16" s="21" t="s">
        <v>82</v>
      </c>
      <c r="C16" s="22" t="s">
        <v>75</v>
      </c>
      <c r="D16" s="23">
        <v>720</v>
      </c>
      <c r="E16" s="23">
        <v>1500</v>
      </c>
      <c r="F16" s="23">
        <f t="shared" si="0"/>
        <v>1080000</v>
      </c>
      <c r="G16" s="74">
        <v>4.4999999999999998E-2</v>
      </c>
      <c r="H16" s="74">
        <v>0.38900000000000001</v>
      </c>
    </row>
    <row r="18" spans="2:8" ht="24" customHeight="1" x14ac:dyDescent="0.3">
      <c r="B18" s="9" t="s">
        <v>83</v>
      </c>
      <c r="C18" s="9"/>
      <c r="D18" s="9"/>
      <c r="E18" s="9"/>
      <c r="F18" s="9"/>
      <c r="G18" s="9"/>
      <c r="H18" s="9"/>
    </row>
    <row r="19" spans="2:8" ht="36" customHeight="1" x14ac:dyDescent="0.3">
      <c r="B19" s="39" t="s">
        <v>84</v>
      </c>
      <c r="C19" s="39" t="s">
        <v>36</v>
      </c>
      <c r="D19" s="40" t="s">
        <v>85</v>
      </c>
      <c r="E19" s="8" t="s">
        <v>86</v>
      </c>
      <c r="F19" s="8"/>
      <c r="G19" s="8"/>
      <c r="H19" s="41" t="s">
        <v>87</v>
      </c>
    </row>
    <row r="20" spans="2:8" ht="36" customHeight="1" x14ac:dyDescent="0.3">
      <c r="B20" s="42" t="s">
        <v>88</v>
      </c>
      <c r="C20" s="42" t="s">
        <v>40</v>
      </c>
      <c r="D20" s="43" t="s">
        <v>89</v>
      </c>
      <c r="E20" s="7" t="s">
        <v>90</v>
      </c>
      <c r="F20" s="7"/>
      <c r="G20" s="7"/>
      <c r="H20" s="44" t="s">
        <v>91</v>
      </c>
    </row>
    <row r="21" spans="2:8" ht="36" customHeight="1" x14ac:dyDescent="0.3">
      <c r="B21" s="42" t="s">
        <v>92</v>
      </c>
      <c r="C21" s="42" t="s">
        <v>93</v>
      </c>
      <c r="D21" s="43" t="s">
        <v>94</v>
      </c>
      <c r="E21" s="7" t="s">
        <v>95</v>
      </c>
      <c r="F21" s="7"/>
      <c r="G21" s="7"/>
      <c r="H21" s="44" t="s">
        <v>96</v>
      </c>
    </row>
    <row r="22" spans="2:8" ht="36" customHeight="1" x14ac:dyDescent="0.3">
      <c r="B22" s="45" t="s">
        <v>97</v>
      </c>
      <c r="C22" s="45" t="s">
        <v>98</v>
      </c>
      <c r="D22" s="46" t="s">
        <v>99</v>
      </c>
      <c r="E22" s="6" t="s">
        <v>100</v>
      </c>
      <c r="F22" s="6"/>
      <c r="G22" s="6"/>
      <c r="H22" s="47" t="s">
        <v>101</v>
      </c>
    </row>
    <row r="23" spans="2:8" ht="36" customHeight="1" x14ac:dyDescent="0.3">
      <c r="B23" s="45" t="s">
        <v>102</v>
      </c>
      <c r="C23" s="45" t="s">
        <v>98</v>
      </c>
      <c r="D23" s="46" t="s">
        <v>99</v>
      </c>
      <c r="E23" s="6" t="s">
        <v>103</v>
      </c>
      <c r="F23" s="6"/>
      <c r="G23" s="6"/>
      <c r="H23" s="47" t="s">
        <v>104</v>
      </c>
    </row>
  </sheetData>
  <mergeCells count="8">
    <mergeCell ref="E21:G21"/>
    <mergeCell ref="E22:G22"/>
    <mergeCell ref="E23:G23"/>
    <mergeCell ref="B2:H2"/>
    <mergeCell ref="B3:H3"/>
    <mergeCell ref="B18:H18"/>
    <mergeCell ref="E19:G19"/>
    <mergeCell ref="E20:G20"/>
  </mergeCells>
  <conditionalFormatting sqref="D5:D1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{81530A92-F9C3-4CA2-9D98-C5B8F169BCB5}</x14:id>
        </ext>
      </extLst>
    </cfRule>
  </conditionalFormatting>
  <conditionalFormatting sqref="B5:H16">
    <cfRule type="expression" dxfId="5" priority="7">
      <formula>$H$5&gt;=0.4</formula>
    </cfRule>
    <cfRule type="expression" dxfId="6" priority="6">
      <formula>$H$5&gt;0.4</formula>
    </cfRule>
    <cfRule type="expression" dxfId="7" priority="3">
      <formula>$H5&gt;=0.4</formula>
    </cfRule>
    <cfRule type="expression" dxfId="8" priority="2">
      <formula>$G5&gt;0.7</formula>
    </cfRule>
    <cfRule type="expression" dxfId="4" priority="1">
      <formula>$G5&gt;0.07</formula>
    </cfRule>
  </conditionalFormatting>
  <conditionalFormatting sqref="H15">
    <cfRule type="expression" dxfId="16" priority="5">
      <formula>$H5&gt;=0.4</formula>
    </cfRule>
    <cfRule type="expression" dxfId="15" priority="4">
      <formula>$H5&gt;=0.4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530A92-F9C3-4CA2-9D98-C5B8F169BC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F5:F16</xm:sqref>
        </x14:conditionalFormatting>
        <x14:conditionalFormatting xmlns:xm="http://schemas.microsoft.com/office/excel/2006/main">
          <x14:cfRule type="iconSet" priority="8" id="{5AC32265-7B02-4D65-BA7C-79455C071E6B}">
            <x14:iconSet custom="1">
              <x14:cfvo type="percent">
                <xm:f>0</xm:f>
              </x14:cfvo>
              <x14:cfvo type="num">
                <xm:f>0.03</xm:f>
              </x14:cfvo>
              <x14:cfvo type="num">
                <xm:f>0.06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G5:G16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EAA"/>
  </sheetPr>
  <dimension ref="B2:E24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3" width="30" customWidth="1"/>
    <col min="4" max="4" width="35" customWidth="1"/>
    <col min="5" max="5" width="30" customWidth="1"/>
    <col min="6" max="6" width="3" customWidth="1"/>
  </cols>
  <sheetData>
    <row r="2" spans="2:5" ht="15.75" customHeight="1" x14ac:dyDescent="0.3">
      <c r="B2" s="10" t="s">
        <v>105</v>
      </c>
      <c r="C2" s="10"/>
      <c r="D2" s="10"/>
      <c r="E2" s="10"/>
    </row>
    <row r="3" spans="2:5" ht="27.75" customHeight="1" x14ac:dyDescent="0.3">
      <c r="B3" s="48" t="s">
        <v>106</v>
      </c>
      <c r="C3" s="49" t="s">
        <v>107</v>
      </c>
      <c r="D3" s="49" t="s">
        <v>108</v>
      </c>
      <c r="E3" s="49" t="s">
        <v>109</v>
      </c>
    </row>
    <row r="4" spans="2:5" ht="36" customHeight="1" x14ac:dyDescent="0.3">
      <c r="B4" s="50" t="s">
        <v>36</v>
      </c>
      <c r="C4" s="51" t="s">
        <v>110</v>
      </c>
      <c r="D4" s="51" t="s">
        <v>111</v>
      </c>
      <c r="E4" s="51" t="s">
        <v>112</v>
      </c>
    </row>
    <row r="5" spans="2:5" ht="36" customHeight="1" x14ac:dyDescent="0.3">
      <c r="B5" s="52" t="s">
        <v>40</v>
      </c>
      <c r="C5" s="53" t="s">
        <v>113</v>
      </c>
      <c r="D5" s="53" t="s">
        <v>114</v>
      </c>
      <c r="E5" s="53" t="s">
        <v>115</v>
      </c>
    </row>
    <row r="6" spans="2:5" ht="36" customHeight="1" x14ac:dyDescent="0.3">
      <c r="B6" s="50" t="s">
        <v>93</v>
      </c>
      <c r="C6" s="51" t="s">
        <v>116</v>
      </c>
      <c r="D6" s="51" t="s">
        <v>117</v>
      </c>
      <c r="E6" s="51" t="s">
        <v>118</v>
      </c>
    </row>
    <row r="7" spans="2:5" ht="36" customHeight="1" x14ac:dyDescent="0.3">
      <c r="B7" s="52" t="s">
        <v>119</v>
      </c>
      <c r="C7" s="53" t="s">
        <v>120</v>
      </c>
      <c r="D7" s="53" t="s">
        <v>121</v>
      </c>
      <c r="E7" s="53" t="s">
        <v>122</v>
      </c>
    </row>
    <row r="8" spans="2:5" ht="36" customHeight="1" x14ac:dyDescent="0.3">
      <c r="B8" s="50" t="s">
        <v>123</v>
      </c>
      <c r="C8" s="51" t="s">
        <v>124</v>
      </c>
      <c r="D8" s="51" t="s">
        <v>125</v>
      </c>
      <c r="E8" s="51" t="s">
        <v>126</v>
      </c>
    </row>
    <row r="9" spans="2:5" ht="36" customHeight="1" x14ac:dyDescent="0.3">
      <c r="B9" s="52" t="s">
        <v>127</v>
      </c>
      <c r="C9" s="53" t="s">
        <v>128</v>
      </c>
      <c r="D9" s="53" t="s">
        <v>129</v>
      </c>
      <c r="E9" s="53" t="s">
        <v>130</v>
      </c>
    </row>
    <row r="11" spans="2:5" ht="21.75" customHeight="1" x14ac:dyDescent="0.3">
      <c r="B11" s="5" t="s">
        <v>131</v>
      </c>
      <c r="C11" s="5"/>
      <c r="D11" s="5"/>
      <c r="E11" s="5"/>
    </row>
    <row r="12" spans="2:5" ht="21.75" customHeight="1" x14ac:dyDescent="0.3">
      <c r="B12" s="54" t="s">
        <v>132</v>
      </c>
      <c r="C12" s="54" t="s">
        <v>133</v>
      </c>
      <c r="D12" s="54" t="s">
        <v>134</v>
      </c>
      <c r="E12" s="28"/>
    </row>
    <row r="13" spans="2:5" ht="31.5" customHeight="1" x14ac:dyDescent="0.3">
      <c r="B13" s="55" t="s">
        <v>135</v>
      </c>
      <c r="C13" s="56" t="b">
        <f>$C5&lt;50000</f>
        <v>0</v>
      </c>
      <c r="D13" s="55" t="s">
        <v>136</v>
      </c>
      <c r="E13" s="28"/>
    </row>
    <row r="14" spans="2:5" ht="31.5" customHeight="1" x14ac:dyDescent="0.3">
      <c r="B14" s="31" t="s">
        <v>137</v>
      </c>
      <c r="C14" s="57" t="b">
        <f>$F5&gt;=0.4</f>
        <v>0</v>
      </c>
      <c r="D14" s="31" t="s">
        <v>138</v>
      </c>
      <c r="E14" s="28"/>
    </row>
    <row r="15" spans="2:5" ht="31.5" customHeight="1" x14ac:dyDescent="0.3">
      <c r="B15" s="55" t="s">
        <v>139</v>
      </c>
      <c r="C15" s="56" t="b">
        <f>AND($D5&gt;100000,$E5&lt;0.05)</f>
        <v>0</v>
      </c>
      <c r="D15" s="55" t="s">
        <v>140</v>
      </c>
      <c r="E15" s="28"/>
    </row>
    <row r="16" spans="2:5" ht="31.5" customHeight="1" x14ac:dyDescent="0.3">
      <c r="B16" s="31" t="s">
        <v>141</v>
      </c>
      <c r="C16" s="57" t="b">
        <f>MOD(ROW(),2)=0</f>
        <v>1</v>
      </c>
      <c r="D16" s="31" t="s">
        <v>142</v>
      </c>
      <c r="E16" s="28"/>
    </row>
    <row r="17" spans="2:5" ht="31.5" customHeight="1" x14ac:dyDescent="0.3">
      <c r="B17" s="55" t="s">
        <v>143</v>
      </c>
      <c r="C17" s="56" t="s">
        <v>144</v>
      </c>
      <c r="D17" s="55" t="s">
        <v>145</v>
      </c>
      <c r="E17" s="28"/>
    </row>
    <row r="19" spans="2:5" ht="21.75" customHeight="1" x14ac:dyDescent="0.3">
      <c r="B19" s="4" t="s">
        <v>146</v>
      </c>
      <c r="C19" s="4"/>
      <c r="D19" s="4"/>
      <c r="E19" s="4"/>
    </row>
    <row r="20" spans="2:5" ht="21.75" customHeight="1" x14ac:dyDescent="0.3">
      <c r="B20" s="58" t="s">
        <v>147</v>
      </c>
      <c r="C20" s="58" t="s">
        <v>148</v>
      </c>
      <c r="D20" s="58" t="s">
        <v>149</v>
      </c>
      <c r="E20" s="59"/>
    </row>
    <row r="21" spans="2:5" ht="36" customHeight="1" x14ac:dyDescent="0.3">
      <c r="B21" s="60" t="s">
        <v>150</v>
      </c>
      <c r="C21" s="60" t="s">
        <v>151</v>
      </c>
      <c r="D21" s="60" t="s">
        <v>152</v>
      </c>
      <c r="E21" s="28"/>
    </row>
    <row r="22" spans="2:5" ht="36" customHeight="1" x14ac:dyDescent="0.3">
      <c r="B22" s="61" t="s">
        <v>153</v>
      </c>
      <c r="C22" s="61" t="s">
        <v>154</v>
      </c>
      <c r="D22" s="61" t="s">
        <v>155</v>
      </c>
      <c r="E22" s="28"/>
    </row>
    <row r="23" spans="2:5" ht="36" customHeight="1" x14ac:dyDescent="0.3">
      <c r="B23" s="60" t="s">
        <v>156</v>
      </c>
      <c r="C23" s="60" t="s">
        <v>157</v>
      </c>
      <c r="D23" s="60" t="s">
        <v>158</v>
      </c>
      <c r="E23" s="28"/>
    </row>
    <row r="24" spans="2:5" ht="36" customHeight="1" x14ac:dyDescent="0.3">
      <c r="B24" s="61" t="s">
        <v>159</v>
      </c>
      <c r="C24" s="61" t="s">
        <v>160</v>
      </c>
      <c r="D24" s="61" t="s">
        <v>161</v>
      </c>
      <c r="E24" s="28"/>
    </row>
  </sheetData>
  <mergeCells count="3">
    <mergeCell ref="B2:E2"/>
    <mergeCell ref="B11:E11"/>
    <mergeCell ref="B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6000"/>
  </sheetPr>
  <dimension ref="B2:F24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18" customWidth="1"/>
    <col min="3" max="3" width="20" customWidth="1"/>
    <col min="4" max="4" width="40" customWidth="1"/>
    <col min="5" max="5" width="22" customWidth="1"/>
    <col min="6" max="6" width="12" customWidth="1"/>
    <col min="7" max="7" width="3" customWidth="1"/>
  </cols>
  <sheetData>
    <row r="2" spans="2:6" ht="15.75" customHeight="1" x14ac:dyDescent="0.3">
      <c r="B2" s="10" t="s">
        <v>162</v>
      </c>
      <c r="C2" s="10"/>
      <c r="D2" s="10"/>
      <c r="E2" s="10"/>
      <c r="F2" s="10"/>
    </row>
    <row r="3" spans="2:6" ht="15" customHeight="1" x14ac:dyDescent="0.3">
      <c r="B3" s="15" t="s">
        <v>163</v>
      </c>
      <c r="C3" s="15" t="s">
        <v>164</v>
      </c>
      <c r="D3" s="15" t="s">
        <v>165</v>
      </c>
      <c r="E3" s="15" t="s">
        <v>166</v>
      </c>
      <c r="F3" s="15" t="s">
        <v>167</v>
      </c>
    </row>
    <row r="4" spans="2:6" ht="39.75" customHeight="1" x14ac:dyDescent="0.3">
      <c r="B4" s="50" t="s">
        <v>168</v>
      </c>
      <c r="C4" s="50" t="s">
        <v>36</v>
      </c>
      <c r="D4" s="51" t="s">
        <v>169</v>
      </c>
      <c r="E4" s="51" t="s">
        <v>170</v>
      </c>
      <c r="F4" s="50" t="s">
        <v>171</v>
      </c>
    </row>
    <row r="5" spans="2:6" ht="39.75" customHeight="1" x14ac:dyDescent="0.3">
      <c r="B5" s="52" t="s">
        <v>172</v>
      </c>
      <c r="C5" s="52" t="s">
        <v>40</v>
      </c>
      <c r="D5" s="53" t="s">
        <v>173</v>
      </c>
      <c r="E5" s="53" t="s">
        <v>174</v>
      </c>
      <c r="F5" s="52" t="s">
        <v>171</v>
      </c>
    </row>
    <row r="6" spans="2:6" ht="39.75" customHeight="1" x14ac:dyDescent="0.3">
      <c r="B6" s="50" t="s">
        <v>175</v>
      </c>
      <c r="C6" s="50" t="s">
        <v>93</v>
      </c>
      <c r="D6" s="51" t="s">
        <v>176</v>
      </c>
      <c r="E6" s="51" t="s">
        <v>177</v>
      </c>
      <c r="F6" s="50" t="s">
        <v>178</v>
      </c>
    </row>
    <row r="7" spans="2:6" ht="39.75" customHeight="1" x14ac:dyDescent="0.3">
      <c r="B7" s="52" t="s">
        <v>179</v>
      </c>
      <c r="C7" s="52" t="s">
        <v>98</v>
      </c>
      <c r="D7" s="53" t="s">
        <v>180</v>
      </c>
      <c r="E7" s="53" t="s">
        <v>181</v>
      </c>
      <c r="F7" s="52" t="s">
        <v>182</v>
      </c>
    </row>
    <row r="8" spans="2:6" ht="39.75" customHeight="1" x14ac:dyDescent="0.3">
      <c r="B8" s="50" t="s">
        <v>183</v>
      </c>
      <c r="C8" s="50" t="s">
        <v>98</v>
      </c>
      <c r="D8" s="51" t="s">
        <v>184</v>
      </c>
      <c r="E8" s="51" t="s">
        <v>185</v>
      </c>
      <c r="F8" s="50" t="s">
        <v>182</v>
      </c>
    </row>
    <row r="9" spans="2:6" ht="25.5" customHeight="1" x14ac:dyDescent="0.3">
      <c r="B9" s="62" t="s">
        <v>186</v>
      </c>
      <c r="C9" s="62"/>
      <c r="D9" s="54"/>
      <c r="E9" s="54"/>
      <c r="F9" s="62" t="s">
        <v>187</v>
      </c>
    </row>
    <row r="12" spans="2:6" ht="21.75" customHeight="1" x14ac:dyDescent="0.3">
      <c r="B12" s="11" t="s">
        <v>188</v>
      </c>
      <c r="C12" s="11"/>
      <c r="D12" s="11"/>
      <c r="E12" s="11"/>
      <c r="F12" s="11"/>
    </row>
    <row r="13" spans="2:6" ht="21.75" customHeight="1" x14ac:dyDescent="0.3">
      <c r="B13" s="63" t="s">
        <v>189</v>
      </c>
      <c r="C13" s="63" t="s">
        <v>190</v>
      </c>
      <c r="D13" s="64" t="s">
        <v>191</v>
      </c>
      <c r="E13" s="38"/>
      <c r="F13" s="38"/>
    </row>
    <row r="14" spans="2:6" ht="21.75" customHeight="1" x14ac:dyDescent="0.3">
      <c r="B14" s="65" t="s">
        <v>192</v>
      </c>
      <c r="C14" s="65" t="s">
        <v>193</v>
      </c>
      <c r="D14" s="66" t="s">
        <v>194</v>
      </c>
      <c r="E14" s="67"/>
      <c r="F14" s="67"/>
    </row>
    <row r="15" spans="2:6" ht="21.75" customHeight="1" x14ac:dyDescent="0.3">
      <c r="B15" s="68" t="s">
        <v>195</v>
      </c>
      <c r="C15" s="68" t="s">
        <v>196</v>
      </c>
      <c r="D15" s="69" t="s">
        <v>197</v>
      </c>
      <c r="E15" s="70"/>
      <c r="F15" s="70"/>
    </row>
    <row r="16" spans="2:6" ht="21.75" customHeight="1" x14ac:dyDescent="0.3">
      <c r="B16" s="71" t="s">
        <v>198</v>
      </c>
      <c r="C16" s="71" t="s">
        <v>199</v>
      </c>
      <c r="D16" s="72" t="s">
        <v>200</v>
      </c>
      <c r="E16" s="36"/>
      <c r="F16" s="36"/>
    </row>
    <row r="18" spans="2:6" ht="24" customHeight="1" x14ac:dyDescent="0.3">
      <c r="B18" s="9" t="s">
        <v>201</v>
      </c>
      <c r="C18" s="9"/>
      <c r="D18" s="9"/>
      <c r="E18" s="9"/>
      <c r="F18" s="9"/>
    </row>
    <row r="19" spans="2:6" ht="30" customHeight="1" x14ac:dyDescent="0.3">
      <c r="B19" s="3" t="s">
        <v>202</v>
      </c>
      <c r="C19" s="3"/>
      <c r="D19" s="3"/>
      <c r="E19" s="3"/>
      <c r="F19" s="3"/>
    </row>
    <row r="20" spans="2:6" ht="30" customHeight="1" x14ac:dyDescent="0.3">
      <c r="B20" s="2" t="s">
        <v>203</v>
      </c>
      <c r="C20" s="2"/>
      <c r="D20" s="2"/>
      <c r="E20" s="2"/>
      <c r="F20" s="2"/>
    </row>
    <row r="21" spans="2:6" ht="30" customHeight="1" x14ac:dyDescent="0.3">
      <c r="B21" s="3" t="s">
        <v>204</v>
      </c>
      <c r="C21" s="3"/>
      <c r="D21" s="3"/>
      <c r="E21" s="3"/>
      <c r="F21" s="3"/>
    </row>
    <row r="22" spans="2:6" ht="30" customHeight="1" x14ac:dyDescent="0.3">
      <c r="B22" s="2" t="s">
        <v>205</v>
      </c>
      <c r="C22" s="2"/>
      <c r="D22" s="2"/>
      <c r="E22" s="2"/>
      <c r="F22" s="2"/>
    </row>
    <row r="23" spans="2:6" ht="30" customHeight="1" x14ac:dyDescent="0.3">
      <c r="B23" s="3" t="s">
        <v>206</v>
      </c>
      <c r="C23" s="3"/>
      <c r="D23" s="3"/>
      <c r="E23" s="3"/>
      <c r="F23" s="3"/>
    </row>
    <row r="24" spans="2:6" ht="30" customHeight="1" x14ac:dyDescent="0.3">
      <c r="B24" s="1" t="s">
        <v>207</v>
      </c>
      <c r="C24" s="1"/>
      <c r="D24" s="1"/>
      <c r="E24" s="1"/>
      <c r="F24" s="1"/>
    </row>
  </sheetData>
  <mergeCells count="9">
    <mergeCell ref="B21:F21"/>
    <mergeCell ref="B22:F22"/>
    <mergeCell ref="B23:F23"/>
    <mergeCell ref="B24:F24"/>
    <mergeCell ref="B2:F2"/>
    <mergeCell ref="B12:F12"/>
    <mergeCell ref="B18:F18"/>
    <mergeCell ref="B19:F19"/>
    <mergeCell ref="B20:F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Dashboard</vt:lpstr>
      <vt:lpstr>Practice Lab</vt:lpstr>
      <vt:lpstr>Concept Notes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Deepanshu Garg</cp:lastModifiedBy>
  <cp:revision>0</cp:revision>
  <dcterms:created xsi:type="dcterms:W3CDTF">2026-04-01T07:30:04Z</dcterms:created>
  <dcterms:modified xsi:type="dcterms:W3CDTF">2026-04-01T13:19:05Z</dcterms:modified>
  <dc:language>en-US</dc:language>
</cp:coreProperties>
</file>