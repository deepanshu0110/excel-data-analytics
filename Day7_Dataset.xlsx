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2" documentId="11_CE9D454618922E899421D80CCEC50472E87EC167" xr6:coauthVersionLast="47" xr6:coauthVersionMax="47" xr10:uidLastSave="{8A687A60-3CB8-4BD6-83C9-F06A7B1CD65D}"/>
  <bookViews>
    <workbookView xWindow="-108" yWindow="-108" windowWidth="23256" windowHeight="12456" activeTab="3" xr2:uid="{00000000-000D-0000-FFFF-FFFF00000000}"/>
  </bookViews>
  <sheets>
    <sheet name="Raw Data" sheetId="1" r:id="rId1"/>
    <sheet name="Named Ranges Practice" sheetId="2" r:id="rId2"/>
    <sheet name="Dashboard Layout" sheetId="3" r:id="rId3"/>
    <sheet name="Answer Key — Read After" sheetId="4" r:id="rId4"/>
  </sheets>
  <definedNames>
    <definedName name="PricePerUnit">'Raw Data'!$D$2:$D$16</definedName>
    <definedName name="Returns">'Raw Data'!$E$2:$E$16</definedName>
    <definedName name="UnitsSold">'Raw Data'!$C$2:$C$16</definedName>
  </definedNames>
  <calcPr calcId="191029"/>
</workbook>
</file>

<file path=xl/calcChain.xml><?xml version="1.0" encoding="utf-8"?>
<calcChain xmlns="http://schemas.openxmlformats.org/spreadsheetml/2006/main">
  <c r="D5" i="3" l="1"/>
  <c r="B5" i="3"/>
  <c r="F10" i="3"/>
  <c r="F11" i="3"/>
  <c r="F12" i="3"/>
  <c r="F13" i="3"/>
  <c r="F9" i="3"/>
  <c r="C13" i="3"/>
  <c r="C12" i="3"/>
  <c r="C11" i="3"/>
  <c r="C10" i="3"/>
  <c r="C9" i="3"/>
  <c r="E10" i="3"/>
  <c r="E11" i="3"/>
  <c r="E12" i="3"/>
  <c r="E13" i="3"/>
  <c r="E9" i="3"/>
  <c r="D13" i="3"/>
  <c r="D12" i="3"/>
  <c r="D11" i="3"/>
  <c r="D10" i="3"/>
  <c r="D9" i="3"/>
  <c r="B13" i="3"/>
  <c r="B12" i="3"/>
  <c r="B11" i="3"/>
  <c r="B10" i="3"/>
  <c r="B9" i="3"/>
  <c r="B15" i="2"/>
  <c r="B14" i="2"/>
  <c r="B13" i="2"/>
  <c r="B12" i="2"/>
  <c r="B11" i="2"/>
  <c r="B10" i="2"/>
  <c r="B11" i="4"/>
  <c r="B10" i="4"/>
  <c r="B9" i="4"/>
  <c r="B7" i="4"/>
  <c r="B6" i="4"/>
  <c r="B5" i="4"/>
  <c r="B4" i="4"/>
  <c r="B3" i="4"/>
  <c r="B2" i="4"/>
  <c r="F5" i="3" l="1"/>
  <c r="H5" i="3" s="1"/>
</calcChain>
</file>

<file path=xl/sharedStrings.xml><?xml version="1.0" encoding="utf-8"?>
<sst xmlns="http://schemas.openxmlformats.org/spreadsheetml/2006/main" count="146" uniqueCount="91">
  <si>
    <t>Month</t>
  </si>
  <si>
    <t>Product</t>
  </si>
  <si>
    <t>Units Sold</t>
  </si>
  <si>
    <t>Price (₹)</t>
  </si>
  <si>
    <t>Returns</t>
  </si>
  <si>
    <t>Region</t>
  </si>
  <si>
    <t>Jan</t>
  </si>
  <si>
    <t>Earphones</t>
  </si>
  <si>
    <t>North</t>
  </si>
  <si>
    <t>USB Cable</t>
  </si>
  <si>
    <t>Mobile Cover</t>
  </si>
  <si>
    <t>South</t>
  </si>
  <si>
    <t>Screen Guard</t>
  </si>
  <si>
    <t>East</t>
  </si>
  <si>
    <t>Phone Stand</t>
  </si>
  <si>
    <t>West</t>
  </si>
  <si>
    <t>Feb</t>
  </si>
  <si>
    <t>Mar</t>
  </si>
  <si>
    <t>YOUR TASK — Named Ranges</t>
  </si>
  <si>
    <t>Step 1: Go to Raw Data sheet. Select C2:C16 (Units Sold column, all 15 rows).</t>
  </si>
  <si>
    <t xml:space="preserve">        Name it → click the Name Box (top-left, shows 'C2') → type: UnitsSold → press Enter</t>
  </si>
  <si>
    <t>Step 2: Select D2:D16 (Price column). Name it: PricePerUnit</t>
  </si>
  <si>
    <t>Step 3: Select E2:E16 (Returns column). Name it: Returns</t>
  </si>
  <si>
    <t>Step 4: In this sheet, use your named ranges to fill the yellow cells below.</t>
  </si>
  <si>
    <t xml:space="preserve">        Do NOT use C2:C16 etc. Use the name you created.</t>
  </si>
  <si>
    <t>Metric</t>
  </si>
  <si>
    <t>Your Formula</t>
  </si>
  <si>
    <t>Expected Answer</t>
  </si>
  <si>
    <t>Total Units Sold (all months, all products)</t>
  </si>
  <si>
    <t>1,931</t>
  </si>
  <si>
    <t>Average Units Sold per row</t>
  </si>
  <si>
    <t>128.7</t>
  </si>
  <si>
    <t>Total Returns</t>
  </si>
  <si>
    <t>88</t>
  </si>
  <si>
    <t>Highest Price product (max price)</t>
  </si>
  <si>
    <t>399</t>
  </si>
  <si>
    <t>Lowest Price product (min price)</t>
  </si>
  <si>
    <t>79</t>
  </si>
  <si>
    <t>Return Rate (Total Returns / Total Units)</t>
  </si>
  <si>
    <t>4.6%</t>
  </si>
  <si>
    <t>🗂️ Retail Sales Dashboard — Q1 (Jan–Mar)</t>
  </si>
  <si>
    <t>KPI SUMMARY — Use named ranges to fill the yellow cells</t>
  </si>
  <si>
    <t>Total Units</t>
  </si>
  <si>
    <t>Total Revenue</t>
  </si>
  <si>
    <t>Return Rate</t>
  </si>
  <si>
    <t>PRODUCT BREAKDOWN TABLE — Fill using formulas referencing Raw Data</t>
  </si>
  <si>
    <t>Revenue (₹)</t>
  </si>
  <si>
    <t>Avg Monthly Units</t>
  </si>
  <si>
    <t>Status</t>
  </si>
  <si>
    <t>HINTS — Read this before you start</t>
  </si>
  <si>
    <t>• Total Units per product: =SUMIF('Raw Data'!B:B, "Earphones", 'Raw Data'!C:C)</t>
  </si>
  <si>
    <t>• Revenue per product: =SUMPRODUCT(('Raw Data'!B2:B16="Earphones")*'Raw Data'!C2:C16*'Raw Data'!D2:D16)</t>
  </si>
  <si>
    <t>• Returns per product: =SUMIF('Raw Data'!B:B, "Earphones", 'Raw Data'!E:E)</t>
  </si>
  <si>
    <t>• Avg Monthly Units: Total Units / 3 (Jan, Feb, Mar = 3 months)</t>
  </si>
  <si>
    <t>• Status: =IF([Revenue cell]&gt;100000, "⭐ Top", IF([Revenue cell]&gt;50000, "✅ Mid", "⚠ Low"))</t>
  </si>
  <si>
    <t>• Replace 'Earphones' with each product name for each row</t>
  </si>
  <si>
    <t>Formula</t>
  </si>
  <si>
    <t>Value</t>
  </si>
  <si>
    <t>Total Units (Named Range)</t>
  </si>
  <si>
    <t>Average Units (Named Range)</t>
  </si>
  <si>
    <t>Total Returns (Named Range)</t>
  </si>
  <si>
    <t>Max Price (Named Range)</t>
  </si>
  <si>
    <t>Min Price (Named Range)</t>
  </si>
  <si>
    <t>Return Rate (Named Range)</t>
  </si>
  <si>
    <t>Earphones Total Units</t>
  </si>
  <si>
    <t>330</t>
  </si>
  <si>
    <t>Earphones Revenue</t>
  </si>
  <si>
    <t>₹1,31,670</t>
  </si>
  <si>
    <t>Earphones Returns</t>
  </si>
  <si>
    <t>25</t>
  </si>
  <si>
    <t>USB Cable Total Units</t>
  </si>
  <si>
    <t>SUMIF same logic</t>
  </si>
  <si>
    <t>622</t>
  </si>
  <si>
    <t>USB Cable Revenue</t>
  </si>
  <si>
    <t>SUMPRODUCT same logic</t>
  </si>
  <si>
    <t>₹61,578</t>
  </si>
  <si>
    <t>Mobile Cover Total Units</t>
  </si>
  <si>
    <t>353</t>
  </si>
  <si>
    <t>Mobile Cover Revenue</t>
  </si>
  <si>
    <t>₹52,597</t>
  </si>
  <si>
    <t>Screen Guard Total Units</t>
  </si>
  <si>
    <t>455</t>
  </si>
  <si>
    <t>Screen Guard Revenue</t>
  </si>
  <si>
    <t>₹35,945</t>
  </si>
  <si>
    <t>Phone Stand Total Units</t>
  </si>
  <si>
    <t>151</t>
  </si>
  <si>
    <t>Phone Stand Revenue</t>
  </si>
  <si>
    <t>₹37,599</t>
  </si>
  <si>
    <t>Earphones generated ₹1,31,670 — 41% of total Q1 revenue — despite ranking 4th in unit volume.</t>
  </si>
  <si>
    <t>Screen Guard had the worst return rate: 31 returns on 455 units (6.8%), the highest of all 5 products.</t>
  </si>
  <si>
    <t>Recommendation: prioritise Earphones stock before Q2 and investigate Screen Guard quality — its return rate is 50% higher than the product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</si>
</sst>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2E75B6"/>
      <name val="Arial"/>
    </font>
    <font>
      <sz val="10"/>
      <color rgb="FF000000"/>
      <name val="Arial"/>
    </font>
    <font>
      <i/>
      <sz val="10"/>
      <color rgb="FF999999"/>
      <name val="Arial"/>
    </font>
    <font>
      <b/>
      <sz val="14"/>
      <color rgb="FFFFFFFF"/>
      <name val="Arial"/>
    </font>
    <font>
      <i/>
      <sz val="12"/>
      <color rgb="FF999999"/>
      <name val="Arial"/>
    </font>
    <font>
      <i/>
      <sz val="10"/>
      <color rgb="FFAAAAAA"/>
      <name val="Arial"/>
    </font>
    <font>
      <b/>
      <sz val="10"/>
      <color rgb="FF833C00"/>
      <name val="Arial"/>
    </font>
    <font>
      <sz val="9"/>
      <color rgb="FF44444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2" borderId="0" xfId="0" applyFont="1" applyFill="1"/>
    <xf numFmtId="10" fontId="5" fillId="3" borderId="0" xfId="0" applyNumberFormat="1" applyFont="1" applyFill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0" fillId="0" borderId="0" xfId="0" applyFont="1"/>
    <xf numFmtId="0" fontId="9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C2" sqref="C2:C16"/>
    </sheetView>
  </sheetViews>
  <sheetFormatPr defaultRowHeight="14.4" x14ac:dyDescent="0.3"/>
  <cols>
    <col min="1" max="1" width="8" customWidth="1"/>
    <col min="2" max="2" width="16" customWidth="1"/>
    <col min="3" max="3" width="13" customWidth="1"/>
    <col min="4" max="4" width="12" customWidth="1"/>
    <col min="5" max="6" width="10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110</v>
      </c>
      <c r="D2" s="2">
        <v>399</v>
      </c>
      <c r="E2" s="2">
        <v>8</v>
      </c>
      <c r="F2" s="2" t="s">
        <v>8</v>
      </c>
    </row>
    <row r="3" spans="1:6" x14ac:dyDescent="0.3">
      <c r="A3" s="2" t="s">
        <v>6</v>
      </c>
      <c r="B3" s="2" t="s">
        <v>9</v>
      </c>
      <c r="C3" s="2">
        <v>210</v>
      </c>
      <c r="D3" s="2">
        <v>99</v>
      </c>
      <c r="E3" s="2">
        <v>5</v>
      </c>
      <c r="F3" s="2" t="s">
        <v>8</v>
      </c>
    </row>
    <row r="4" spans="1:6" x14ac:dyDescent="0.3">
      <c r="A4" s="2" t="s">
        <v>6</v>
      </c>
      <c r="B4" s="2" t="s">
        <v>10</v>
      </c>
      <c r="C4" s="2">
        <v>135</v>
      </c>
      <c r="D4" s="2">
        <v>149</v>
      </c>
      <c r="E4" s="2">
        <v>3</v>
      </c>
      <c r="F4" s="2" t="s">
        <v>11</v>
      </c>
    </row>
    <row r="5" spans="1:6" x14ac:dyDescent="0.3">
      <c r="A5" s="2" t="s">
        <v>6</v>
      </c>
      <c r="B5" s="2" t="s">
        <v>12</v>
      </c>
      <c r="C5" s="2">
        <v>155</v>
      </c>
      <c r="D5" s="2">
        <v>79</v>
      </c>
      <c r="E5" s="2">
        <v>10</v>
      </c>
      <c r="F5" s="2" t="s">
        <v>13</v>
      </c>
    </row>
    <row r="6" spans="1:6" x14ac:dyDescent="0.3">
      <c r="A6" s="2" t="s">
        <v>6</v>
      </c>
      <c r="B6" s="2" t="s">
        <v>14</v>
      </c>
      <c r="C6" s="2">
        <v>52</v>
      </c>
      <c r="D6" s="2">
        <v>249</v>
      </c>
      <c r="E6" s="2">
        <v>2</v>
      </c>
      <c r="F6" s="2" t="s">
        <v>15</v>
      </c>
    </row>
    <row r="7" spans="1:6" x14ac:dyDescent="0.3">
      <c r="A7" s="2" t="s">
        <v>16</v>
      </c>
      <c r="B7" s="2" t="s">
        <v>7</v>
      </c>
      <c r="C7" s="2">
        <v>92</v>
      </c>
      <c r="D7" s="2">
        <v>399</v>
      </c>
      <c r="E7" s="2">
        <v>6</v>
      </c>
      <c r="F7" s="2" t="s">
        <v>8</v>
      </c>
    </row>
    <row r="8" spans="1:6" x14ac:dyDescent="0.3">
      <c r="A8" s="2" t="s">
        <v>16</v>
      </c>
      <c r="B8" s="2" t="s">
        <v>9</v>
      </c>
      <c r="C8" s="2">
        <v>187</v>
      </c>
      <c r="D8" s="2">
        <v>99</v>
      </c>
      <c r="E8" s="2">
        <v>4</v>
      </c>
      <c r="F8" s="2" t="s">
        <v>8</v>
      </c>
    </row>
    <row r="9" spans="1:6" x14ac:dyDescent="0.3">
      <c r="A9" s="2" t="s">
        <v>16</v>
      </c>
      <c r="B9" s="2" t="s">
        <v>10</v>
      </c>
      <c r="C9" s="2">
        <v>120</v>
      </c>
      <c r="D9" s="2">
        <v>149</v>
      </c>
      <c r="E9" s="2">
        <v>5</v>
      </c>
      <c r="F9" s="2" t="s">
        <v>11</v>
      </c>
    </row>
    <row r="10" spans="1:6" x14ac:dyDescent="0.3">
      <c r="A10" s="2" t="s">
        <v>16</v>
      </c>
      <c r="B10" s="2" t="s">
        <v>12</v>
      </c>
      <c r="C10" s="2">
        <v>140</v>
      </c>
      <c r="D10" s="2">
        <v>79</v>
      </c>
      <c r="E10" s="2">
        <v>9</v>
      </c>
      <c r="F10" s="2" t="s">
        <v>13</v>
      </c>
    </row>
    <row r="11" spans="1:6" x14ac:dyDescent="0.3">
      <c r="A11" s="2" t="s">
        <v>16</v>
      </c>
      <c r="B11" s="2" t="s">
        <v>14</v>
      </c>
      <c r="C11" s="2">
        <v>38</v>
      </c>
      <c r="D11" s="2">
        <v>249</v>
      </c>
      <c r="E11" s="2">
        <v>1</v>
      </c>
      <c r="F11" s="2" t="s">
        <v>15</v>
      </c>
    </row>
    <row r="12" spans="1:6" x14ac:dyDescent="0.3">
      <c r="A12" s="2" t="s">
        <v>17</v>
      </c>
      <c r="B12" s="2" t="s">
        <v>7</v>
      </c>
      <c r="C12" s="2">
        <v>128</v>
      </c>
      <c r="D12" s="2">
        <v>399</v>
      </c>
      <c r="E12" s="2">
        <v>11</v>
      </c>
      <c r="F12" s="2" t="s">
        <v>8</v>
      </c>
    </row>
    <row r="13" spans="1:6" x14ac:dyDescent="0.3">
      <c r="A13" s="2" t="s">
        <v>17</v>
      </c>
      <c r="B13" s="2" t="s">
        <v>9</v>
      </c>
      <c r="C13" s="2">
        <v>225</v>
      </c>
      <c r="D13" s="2">
        <v>99</v>
      </c>
      <c r="E13" s="2">
        <v>6</v>
      </c>
      <c r="F13" s="2" t="s">
        <v>8</v>
      </c>
    </row>
    <row r="14" spans="1:6" x14ac:dyDescent="0.3">
      <c r="A14" s="2" t="s">
        <v>17</v>
      </c>
      <c r="B14" s="2" t="s">
        <v>10</v>
      </c>
      <c r="C14" s="2">
        <v>98</v>
      </c>
      <c r="D14" s="2">
        <v>149</v>
      </c>
      <c r="E14" s="2">
        <v>2</v>
      </c>
      <c r="F14" s="2" t="s">
        <v>11</v>
      </c>
    </row>
    <row r="15" spans="1:6" x14ac:dyDescent="0.3">
      <c r="A15" s="2" t="s">
        <v>17</v>
      </c>
      <c r="B15" s="2" t="s">
        <v>12</v>
      </c>
      <c r="C15" s="2">
        <v>160</v>
      </c>
      <c r="D15" s="2">
        <v>79</v>
      </c>
      <c r="E15" s="2">
        <v>12</v>
      </c>
      <c r="F15" s="2" t="s">
        <v>13</v>
      </c>
    </row>
    <row r="16" spans="1:6" x14ac:dyDescent="0.3">
      <c r="A16" s="2" t="s">
        <v>17</v>
      </c>
      <c r="B16" s="2" t="s">
        <v>14</v>
      </c>
      <c r="C16" s="2">
        <v>61</v>
      </c>
      <c r="D16" s="2">
        <v>249</v>
      </c>
      <c r="E16" s="2">
        <v>4</v>
      </c>
      <c r="F16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0" sqref="C20"/>
    </sheetView>
  </sheetViews>
  <sheetFormatPr defaultRowHeight="14.4" x14ac:dyDescent="0.3"/>
  <cols>
    <col min="1" max="1" width="52" customWidth="1"/>
    <col min="2" max="2" width="28" customWidth="1"/>
    <col min="3" max="3" width="20" customWidth="1"/>
  </cols>
  <sheetData>
    <row r="1" spans="1:3" x14ac:dyDescent="0.3">
      <c r="A1" s="3" t="s">
        <v>18</v>
      </c>
    </row>
    <row r="2" spans="1:3" x14ac:dyDescent="0.3">
      <c r="A2" s="4" t="s">
        <v>19</v>
      </c>
    </row>
    <row r="3" spans="1:3" x14ac:dyDescent="0.3">
      <c r="A3" s="4" t="s">
        <v>20</v>
      </c>
    </row>
    <row r="4" spans="1:3" x14ac:dyDescent="0.3">
      <c r="A4" s="4" t="s">
        <v>21</v>
      </c>
    </row>
    <row r="5" spans="1:3" x14ac:dyDescent="0.3">
      <c r="A5" s="4" t="s">
        <v>22</v>
      </c>
    </row>
    <row r="6" spans="1:3" x14ac:dyDescent="0.3">
      <c r="A6" s="4" t="s">
        <v>23</v>
      </c>
    </row>
    <row r="7" spans="1:3" x14ac:dyDescent="0.3">
      <c r="A7" s="4" t="s">
        <v>24</v>
      </c>
    </row>
    <row r="9" spans="1:3" x14ac:dyDescent="0.3">
      <c r="A9" s="5" t="s">
        <v>25</v>
      </c>
      <c r="B9" s="5" t="s">
        <v>26</v>
      </c>
      <c r="C9" s="5" t="s">
        <v>27</v>
      </c>
    </row>
    <row r="10" spans="1:3" x14ac:dyDescent="0.3">
      <c r="A10" s="6" t="s">
        <v>28</v>
      </c>
      <c r="B10" s="7">
        <f>SUM(UnitsSold)</f>
        <v>1911</v>
      </c>
      <c r="C10" s="8" t="s">
        <v>29</v>
      </c>
    </row>
    <row r="11" spans="1:3" x14ac:dyDescent="0.3">
      <c r="A11" s="6" t="s">
        <v>30</v>
      </c>
      <c r="B11" s="7">
        <f>AVERAGE(UnitsSold)</f>
        <v>127.4</v>
      </c>
      <c r="C11" s="8" t="s">
        <v>31</v>
      </c>
    </row>
    <row r="12" spans="1:3" x14ac:dyDescent="0.3">
      <c r="A12" s="6" t="s">
        <v>32</v>
      </c>
      <c r="B12" s="7">
        <f>SUM(Returns)</f>
        <v>88</v>
      </c>
      <c r="C12" s="8" t="s">
        <v>33</v>
      </c>
    </row>
    <row r="13" spans="1:3" x14ac:dyDescent="0.3">
      <c r="A13" s="6" t="s">
        <v>34</v>
      </c>
      <c r="B13" s="7">
        <f>MAX(PricePerUnit)</f>
        <v>399</v>
      </c>
      <c r="C13" s="8" t="s">
        <v>35</v>
      </c>
    </row>
    <row r="14" spans="1:3" x14ac:dyDescent="0.3">
      <c r="A14" s="6" t="s">
        <v>36</v>
      </c>
      <c r="B14" s="7">
        <f>MIN(PricePerUnit)</f>
        <v>79</v>
      </c>
      <c r="C14" s="8" t="s">
        <v>37</v>
      </c>
    </row>
    <row r="15" spans="1:3" x14ac:dyDescent="0.3">
      <c r="A15" s="6" t="s">
        <v>38</v>
      </c>
      <c r="B15" s="12">
        <f>B12/B10</f>
        <v>4.6049188906331764E-2</v>
      </c>
      <c r="C15" s="8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J6" sqref="J6"/>
    </sheetView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12" customWidth="1"/>
    <col min="5" max="5" width="20" customWidth="1"/>
    <col min="6" max="6" width="12" customWidth="1"/>
    <col min="7" max="8" width="14" customWidth="1"/>
  </cols>
  <sheetData>
    <row r="1" spans="1:8" ht="30" customHeight="1" x14ac:dyDescent="0.3">
      <c r="A1" s="14" t="s">
        <v>40</v>
      </c>
      <c r="B1" s="15"/>
      <c r="C1" s="15"/>
      <c r="D1" s="15"/>
      <c r="E1" s="15"/>
      <c r="F1" s="15"/>
      <c r="G1" s="15"/>
      <c r="H1" s="15"/>
    </row>
    <row r="3" spans="1:8" x14ac:dyDescent="0.3">
      <c r="A3" s="19" t="s">
        <v>41</v>
      </c>
      <c r="B3" s="15"/>
      <c r="C3" s="15"/>
      <c r="D3" s="15"/>
      <c r="E3" s="15"/>
      <c r="F3" s="15"/>
      <c r="G3" s="15"/>
      <c r="H3" s="15"/>
    </row>
    <row r="4" spans="1:8" ht="19.95" customHeight="1" x14ac:dyDescent="0.3">
      <c r="A4" s="16" t="s">
        <v>42</v>
      </c>
      <c r="B4" s="15"/>
      <c r="C4" s="16" t="s">
        <v>43</v>
      </c>
      <c r="D4" s="15"/>
      <c r="E4" s="16" t="s">
        <v>32</v>
      </c>
      <c r="F4" s="15"/>
      <c r="G4" s="16" t="s">
        <v>44</v>
      </c>
      <c r="H4" s="15"/>
    </row>
    <row r="5" spans="1:8" ht="24" customHeight="1" x14ac:dyDescent="0.3">
      <c r="B5" s="9">
        <f>SUM(B9:B13)</f>
        <v>1911</v>
      </c>
      <c r="D5" s="9">
        <f>SUM(C9:C13)</f>
        <v>319389</v>
      </c>
      <c r="F5" s="9">
        <f ca="1">SUM(D9:D13)</f>
        <v>88</v>
      </c>
      <c r="H5" s="13">
        <f ca="1">F5/B5</f>
        <v>4.6049188906331764E-2</v>
      </c>
    </row>
    <row r="7" spans="1:8" x14ac:dyDescent="0.3">
      <c r="A7" s="19" t="s">
        <v>45</v>
      </c>
      <c r="B7" s="15"/>
      <c r="C7" s="15"/>
      <c r="D7" s="15"/>
      <c r="E7" s="15"/>
      <c r="F7" s="15"/>
      <c r="G7" s="15"/>
      <c r="H7" s="15"/>
    </row>
    <row r="8" spans="1:8" x14ac:dyDescent="0.3">
      <c r="A8" s="5" t="s">
        <v>1</v>
      </c>
      <c r="B8" s="5" t="s">
        <v>42</v>
      </c>
      <c r="C8" s="5" t="s">
        <v>46</v>
      </c>
      <c r="D8" s="5" t="s">
        <v>4</v>
      </c>
      <c r="E8" s="5" t="s">
        <v>47</v>
      </c>
      <c r="F8" s="5" t="s">
        <v>48</v>
      </c>
    </row>
    <row r="9" spans="1:8" x14ac:dyDescent="0.3">
      <c r="A9" s="6" t="s">
        <v>7</v>
      </c>
      <c r="B9" s="10">
        <f>SUMIF('Raw Data'!B2:B16,"Earphones",UnitsSold)</f>
        <v>330</v>
      </c>
      <c r="C9" s="10">
        <f>SUMPRODUCT(('Raw Data'!B2:B16="Earphones")*UnitsSold*PricePerUnit)</f>
        <v>131670</v>
      </c>
      <c r="D9" s="10">
        <f ca="1">SUMIF('Raw Data'!B:B,"Earphones",'Raw Data'!E1:E16)</f>
        <v>25</v>
      </c>
      <c r="E9" s="10">
        <f>B9/3</f>
        <v>110</v>
      </c>
      <c r="F9" s="10" t="str">
        <f>IF(C9&gt;100000,"⭐ Top",IF(C9&gt;50000,"✅ Mid", "⚠ Low"))</f>
        <v>⭐ Top</v>
      </c>
    </row>
    <row r="10" spans="1:8" x14ac:dyDescent="0.3">
      <c r="A10" s="6" t="s">
        <v>9</v>
      </c>
      <c r="B10" s="10">
        <f>SUMIF('Raw Data'!B:B,"USB Cable",'Raw Data'!C:C)</f>
        <v>622</v>
      </c>
      <c r="C10" s="10">
        <f>SUMPRODUCT(('Raw Data'!B2:B16="USB Cable")*UnitsSold*PricePerUnit)</f>
        <v>61578</v>
      </c>
      <c r="D10" s="10">
        <f ca="1">SUMIF('Raw Data'!B:B,"USB Cable",'Raw Data'!E1:E16)</f>
        <v>15</v>
      </c>
      <c r="E10" s="10">
        <f t="shared" ref="E10:E13" si="0">B10/3</f>
        <v>207.33333333333334</v>
      </c>
      <c r="F10" s="10" t="str">
        <f t="shared" ref="F10:F13" si="1">IF(C10&gt;100000,"⭐ Top",IF(C10&gt;50000,"✅ Mid", "⚠ Low"))</f>
        <v>✅ Mid</v>
      </c>
    </row>
    <row r="11" spans="1:8" x14ac:dyDescent="0.3">
      <c r="A11" s="6" t="s">
        <v>10</v>
      </c>
      <c r="B11" s="10">
        <f>SUMIF('Raw Data'!B:B,"Mobile Cover",'Raw Data'!C:C)</f>
        <v>353</v>
      </c>
      <c r="C11" s="10">
        <f>SUMPRODUCT(('Raw Data'!B2:B16="Mobile Cover")*UnitsSold*PricePerUnit)</f>
        <v>52597</v>
      </c>
      <c r="D11" s="10">
        <f ca="1">SUMIF('Raw Data'!B:B,"Mobile Cover",'Raw Data'!E1:E16)</f>
        <v>10</v>
      </c>
      <c r="E11" s="10">
        <f t="shared" si="0"/>
        <v>117.66666666666667</v>
      </c>
      <c r="F11" s="10" t="str">
        <f t="shared" si="1"/>
        <v>✅ Mid</v>
      </c>
    </row>
    <row r="12" spans="1:8" x14ac:dyDescent="0.3">
      <c r="A12" s="6" t="s">
        <v>12</v>
      </c>
      <c r="B12" s="10">
        <f>SUMIF('Raw Data'!B:B,"Screen Guard",'Raw Data'!C:C)</f>
        <v>455</v>
      </c>
      <c r="C12" s="10">
        <f>SUMPRODUCT(('Raw Data'!B2:B16="Screen Guard")*UnitsSold*PricePerUnit)</f>
        <v>35945</v>
      </c>
      <c r="D12" s="10">
        <f ca="1">SUMIF('Raw Data'!B:B,"Screen Guard",'Raw Data'!E1:E16)</f>
        <v>31</v>
      </c>
      <c r="E12" s="10">
        <f t="shared" si="0"/>
        <v>151.66666666666666</v>
      </c>
      <c r="F12" s="10" t="str">
        <f t="shared" si="1"/>
        <v>⚠ Low</v>
      </c>
    </row>
    <row r="13" spans="1:8" x14ac:dyDescent="0.3">
      <c r="A13" s="6" t="s">
        <v>14</v>
      </c>
      <c r="B13" s="10">
        <f>SUMIF('Raw Data'!B:B,"Phone Stand",'Raw Data'!C:C)</f>
        <v>151</v>
      </c>
      <c r="C13" s="10">
        <f>SUMPRODUCT(('Raw Data'!B2:B16="Phone Stand")*UnitsSold*PricePerUnit)</f>
        <v>37599</v>
      </c>
      <c r="D13" s="10">
        <f ca="1">SUMIF('Raw Data'!B:B,"Phone Stand",'Raw Data'!E1:E16)</f>
        <v>7</v>
      </c>
      <c r="E13" s="10">
        <f t="shared" si="0"/>
        <v>50.333333333333336</v>
      </c>
      <c r="F13" s="10" t="str">
        <f t="shared" si="1"/>
        <v>⚠ Low</v>
      </c>
    </row>
    <row r="15" spans="1:8" x14ac:dyDescent="0.3">
      <c r="A15" s="18" t="s">
        <v>49</v>
      </c>
      <c r="B15" s="15"/>
      <c r="C15" s="15"/>
      <c r="D15" s="15"/>
      <c r="E15" s="15"/>
      <c r="F15" s="15"/>
      <c r="G15" s="15"/>
      <c r="H15" s="15"/>
    </row>
    <row r="16" spans="1:8" x14ac:dyDescent="0.3">
      <c r="A16" s="17" t="s">
        <v>50</v>
      </c>
      <c r="B16" s="15"/>
      <c r="C16" s="15"/>
      <c r="D16" s="15"/>
      <c r="E16" s="15"/>
      <c r="F16" s="15"/>
      <c r="G16" s="15"/>
      <c r="H16" s="15"/>
    </row>
    <row r="17" spans="1:8" x14ac:dyDescent="0.3">
      <c r="A17" s="17" t="s">
        <v>51</v>
      </c>
      <c r="B17" s="15"/>
      <c r="C17" s="15"/>
      <c r="D17" s="15"/>
      <c r="E17" s="15"/>
      <c r="F17" s="15"/>
      <c r="G17" s="15"/>
      <c r="H17" s="15"/>
    </row>
    <row r="18" spans="1:8" x14ac:dyDescent="0.3">
      <c r="A18" s="17" t="s">
        <v>52</v>
      </c>
      <c r="B18" s="15"/>
      <c r="C18" s="15"/>
      <c r="D18" s="15"/>
      <c r="E18" s="15"/>
      <c r="F18" s="15"/>
      <c r="G18" s="15"/>
      <c r="H18" s="15"/>
    </row>
    <row r="19" spans="1:8" x14ac:dyDescent="0.3">
      <c r="A19" s="17" t="s">
        <v>53</v>
      </c>
      <c r="B19" s="15"/>
      <c r="C19" s="15"/>
      <c r="D19" s="15"/>
      <c r="E19" s="15"/>
      <c r="F19" s="15"/>
      <c r="G19" s="15"/>
      <c r="H19" s="15"/>
    </row>
    <row r="20" spans="1:8" x14ac:dyDescent="0.3">
      <c r="A20" s="17" t="s">
        <v>54</v>
      </c>
      <c r="B20" s="15"/>
      <c r="C20" s="15"/>
      <c r="D20" s="15"/>
      <c r="E20" s="15"/>
      <c r="F20" s="15"/>
      <c r="G20" s="15"/>
      <c r="H20" s="15"/>
    </row>
    <row r="21" spans="1:8" x14ac:dyDescent="0.3">
      <c r="A21" s="17" t="s">
        <v>55</v>
      </c>
      <c r="B21" s="15"/>
      <c r="C21" s="15"/>
      <c r="D21" s="15"/>
      <c r="E21" s="15"/>
      <c r="F21" s="15"/>
      <c r="G21" s="15"/>
      <c r="H21" s="15"/>
    </row>
  </sheetData>
  <mergeCells count="14">
    <mergeCell ref="A1:H1"/>
    <mergeCell ref="C4:D4"/>
    <mergeCell ref="A21:H21"/>
    <mergeCell ref="A15:H15"/>
    <mergeCell ref="A7:H7"/>
    <mergeCell ref="A20:H20"/>
    <mergeCell ref="A16:H16"/>
    <mergeCell ref="A19:H19"/>
    <mergeCell ref="A17:H17"/>
    <mergeCell ref="A4:B4"/>
    <mergeCell ref="G4:H4"/>
    <mergeCell ref="E4:F4"/>
    <mergeCell ref="A3:H3"/>
    <mergeCell ref="A18:H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abSelected="1" workbookViewId="0">
      <selection activeCell="A22" sqref="A22:A24"/>
    </sheetView>
  </sheetViews>
  <sheetFormatPr defaultRowHeight="14.4" x14ac:dyDescent="0.3"/>
  <cols>
    <col min="1" max="1" width="30" customWidth="1"/>
    <col min="2" max="2" width="70" customWidth="1"/>
    <col min="3" max="3" width="16" customWidth="1"/>
  </cols>
  <sheetData>
    <row r="1" spans="1:3" x14ac:dyDescent="0.3">
      <c r="A1" s="11" t="s">
        <v>25</v>
      </c>
      <c r="B1" s="11" t="s">
        <v>56</v>
      </c>
      <c r="C1" s="11" t="s">
        <v>57</v>
      </c>
    </row>
    <row r="2" spans="1:3" x14ac:dyDescent="0.3">
      <c r="A2" t="s">
        <v>58</v>
      </c>
      <c r="B2">
        <f>SUM(UnitsSold)</f>
        <v>1911</v>
      </c>
      <c r="C2" t="s">
        <v>29</v>
      </c>
    </row>
    <row r="3" spans="1:3" x14ac:dyDescent="0.3">
      <c r="A3" t="s">
        <v>59</v>
      </c>
      <c r="B3">
        <f>AVERAGE(UnitsSold)</f>
        <v>127.4</v>
      </c>
      <c r="C3" t="s">
        <v>31</v>
      </c>
    </row>
    <row r="4" spans="1:3" x14ac:dyDescent="0.3">
      <c r="A4" t="s">
        <v>60</v>
      </c>
      <c r="B4">
        <f>SUM(Returns)</f>
        <v>88</v>
      </c>
      <c r="C4" t="s">
        <v>33</v>
      </c>
    </row>
    <row r="5" spans="1:3" x14ac:dyDescent="0.3">
      <c r="A5" t="s">
        <v>61</v>
      </c>
      <c r="B5">
        <f>MAX(PricePerUnit)</f>
        <v>399</v>
      </c>
      <c r="C5" t="s">
        <v>35</v>
      </c>
    </row>
    <row r="6" spans="1:3" x14ac:dyDescent="0.3">
      <c r="A6" t="s">
        <v>62</v>
      </c>
      <c r="B6">
        <f>MIN(PricePerUnit)</f>
        <v>79</v>
      </c>
      <c r="C6" t="s">
        <v>37</v>
      </c>
    </row>
    <row r="7" spans="1:3" x14ac:dyDescent="0.3">
      <c r="A7" t="s">
        <v>63</v>
      </c>
      <c r="B7">
        <f>SUM(Returns)/SUM(UnitsSold)</f>
        <v>4.6049188906331764E-2</v>
      </c>
      <c r="C7" t="s">
        <v>39</v>
      </c>
    </row>
    <row r="9" spans="1:3" x14ac:dyDescent="0.3">
      <c r="A9" t="s">
        <v>64</v>
      </c>
      <c r="B9">
        <f>SUMIF('Raw Data'!B:B,"Earphones",'Raw Data'!C:C)</f>
        <v>330</v>
      </c>
      <c r="C9" t="s">
        <v>65</v>
      </c>
    </row>
    <row r="10" spans="1:3" x14ac:dyDescent="0.3">
      <c r="A10" t="s">
        <v>66</v>
      </c>
      <c r="B10">
        <f>SUMPRODUCT(('Raw Data'!B2:B16="Earphones")*'Raw Data'!C2:C16*'Raw Data'!D2:D16)</f>
        <v>131670</v>
      </c>
      <c r="C10" t="s">
        <v>67</v>
      </c>
    </row>
    <row r="11" spans="1:3" x14ac:dyDescent="0.3">
      <c r="A11" t="s">
        <v>68</v>
      </c>
      <c r="B11">
        <f>SUMIF('Raw Data'!B:B,"Earphones",'Raw Data'!E:E)</f>
        <v>25</v>
      </c>
      <c r="C11" t="s">
        <v>69</v>
      </c>
    </row>
    <row r="12" spans="1:3" x14ac:dyDescent="0.3">
      <c r="A12" t="s">
        <v>70</v>
      </c>
      <c r="B12" t="s">
        <v>71</v>
      </c>
      <c r="C12" t="s">
        <v>72</v>
      </c>
    </row>
    <row r="13" spans="1:3" x14ac:dyDescent="0.3">
      <c r="A13" t="s">
        <v>73</v>
      </c>
      <c r="B13" t="s">
        <v>74</v>
      </c>
      <c r="C13" t="s">
        <v>75</v>
      </c>
    </row>
    <row r="14" spans="1:3" x14ac:dyDescent="0.3">
      <c r="A14" t="s">
        <v>76</v>
      </c>
      <c r="B14" t="s">
        <v>71</v>
      </c>
      <c r="C14" t="s">
        <v>77</v>
      </c>
    </row>
    <row r="15" spans="1:3" x14ac:dyDescent="0.3">
      <c r="A15" t="s">
        <v>78</v>
      </c>
      <c r="B15" t="s">
        <v>74</v>
      </c>
      <c r="C15" t="s">
        <v>79</v>
      </c>
    </row>
    <row r="16" spans="1:3" x14ac:dyDescent="0.3">
      <c r="A16" t="s">
        <v>80</v>
      </c>
      <c r="B16" t="s">
        <v>71</v>
      </c>
      <c r="C16" t="s">
        <v>81</v>
      </c>
    </row>
    <row r="17" spans="1:3" x14ac:dyDescent="0.3">
      <c r="A17" t="s">
        <v>82</v>
      </c>
      <c r="B17" t="s">
        <v>74</v>
      </c>
      <c r="C17" t="s">
        <v>83</v>
      </c>
    </row>
    <row r="18" spans="1:3" x14ac:dyDescent="0.3">
      <c r="A18" t="s">
        <v>84</v>
      </c>
      <c r="B18" t="s">
        <v>71</v>
      </c>
      <c r="C18" t="s">
        <v>85</v>
      </c>
    </row>
    <row r="19" spans="1:3" x14ac:dyDescent="0.3">
      <c r="A19" t="s">
        <v>86</v>
      </c>
      <c r="B19" t="s">
        <v>74</v>
      </c>
      <c r="C19" t="s">
        <v>87</v>
      </c>
    </row>
    <row r="22" spans="1:3" x14ac:dyDescent="0.3">
      <c r="A22" t="s">
        <v>88</v>
      </c>
    </row>
    <row r="23" spans="1:3" x14ac:dyDescent="0.3">
      <c r="A23" t="s">
        <v>89</v>
      </c>
    </row>
    <row r="24" spans="1:3" x14ac:dyDescent="0.3">
      <c r="A24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 Data</vt:lpstr>
      <vt:lpstr>Named Ranges Practice</vt:lpstr>
      <vt:lpstr>Dashboard Layout</vt:lpstr>
      <vt:lpstr>Answer Key — Read After</vt:lpstr>
      <vt:lpstr>PricePerUnit</vt:lpstr>
      <vt:lpstr>Returns</vt:lpstr>
      <vt:lpstr>UnitsSold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2026-03-30T14:30:19Z</dcterms:created>
  <dcterms:modified xsi:type="dcterms:W3CDTF">2026-03-31T07:33:13Z</dcterms:modified>
</cp:coreProperties>
</file>