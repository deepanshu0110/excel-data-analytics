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8_{F3174FB4-77DD-4FF2-BE8C-AF90F7DD49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ployee Data" sheetId="1" r:id="rId1"/>
    <sheet name="Summary Table" sheetId="2" r:id="rId2"/>
    <sheet name="Concept Notes" sheetId="3" r:id="rId3"/>
    <sheet name="Scoring Guide" sheetId="4" r:id="rId4"/>
  </sheets>
  <calcPr calcId="191029"/>
  <fileRecoveryPr repairLoad="1"/>
</workbook>
</file>

<file path=xl/calcChain.xml><?xml version="1.0" encoding="utf-8"?>
<calcChain xmlns="http://schemas.openxmlformats.org/spreadsheetml/2006/main">
  <c r="F5" i="2" l="1"/>
  <c r="F6" i="2"/>
  <c r="F7" i="2"/>
  <c r="F4" i="2"/>
  <c r="G5" i="2"/>
  <c r="G6" i="2"/>
  <c r="G7" i="2"/>
  <c r="G4" i="2"/>
  <c r="E5" i="2"/>
  <c r="E6" i="2"/>
  <c r="E7" i="2"/>
  <c r="E4" i="2"/>
  <c r="D5" i="2"/>
  <c r="D6" i="2"/>
  <c r="D7" i="2"/>
  <c r="D4" i="2"/>
  <c r="C5" i="2"/>
  <c r="C6" i="2"/>
  <c r="C7" i="2"/>
  <c r="C4" i="2"/>
  <c r="B5" i="2"/>
  <c r="B6" i="2"/>
  <c r="B7" i="2"/>
  <c r="B4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D27" i="1"/>
  <c r="D15" i="2"/>
  <c r="D14" i="2"/>
  <c r="D13" i="2"/>
  <c r="D12" i="2"/>
  <c r="D11" i="2"/>
  <c r="D10" i="2"/>
  <c r="D28" i="1"/>
  <c r="D26" i="1"/>
</calcChain>
</file>

<file path=xl/sharedStrings.xml><?xml version="1.0" encoding="utf-8"?>
<sst xmlns="http://schemas.openxmlformats.org/spreadsheetml/2006/main" count="277" uniqueCount="188">
  <si>
    <t>Employee Performance Data — NexaTech India  |  Q1 2024</t>
  </si>
  <si>
    <t>Columns A-G = raw data (do not edit).  Columns H-J = YOUR formulas using COUNTIF, SUMIF, and advanced IF logic.</t>
  </si>
  <si>
    <t>Emp ID</t>
  </si>
  <si>
    <t>Employee Name</t>
  </si>
  <si>
    <t>Department</t>
  </si>
  <si>
    <t>Salary (Rs)</t>
  </si>
  <si>
    <t>Tasks Completed</t>
  </si>
  <si>
    <t>Target</t>
  </si>
  <si>
    <t>Rating (1-5)</t>
  </si>
  <si>
    <t>Bonus Eligible?</t>
  </si>
  <si>
    <t>Performance Grade</t>
  </si>
  <si>
    <t>Bonus Amount (Rs)</t>
  </si>
  <si>
    <t>EMP-001</t>
  </si>
  <si>
    <t>Priya Sharma</t>
  </si>
  <si>
    <t>Sales</t>
  </si>
  <si>
    <t>EMP-002</t>
  </si>
  <si>
    <t>Rohan Mehta</t>
  </si>
  <si>
    <t>Tech</t>
  </si>
  <si>
    <t>EMP-003</t>
  </si>
  <si>
    <t>Anjali Singh</t>
  </si>
  <si>
    <t>HR</t>
  </si>
  <si>
    <t>EMP-004</t>
  </si>
  <si>
    <t>Vikram Nair</t>
  </si>
  <si>
    <t>EMP-005</t>
  </si>
  <si>
    <t>Deepa Iyer</t>
  </si>
  <si>
    <t>Finance</t>
  </si>
  <si>
    <t>EMP-006</t>
  </si>
  <si>
    <t>Karan Patel</t>
  </si>
  <si>
    <t>EMP-007</t>
  </si>
  <si>
    <t>Sneha Reddy</t>
  </si>
  <si>
    <t>EMP-008</t>
  </si>
  <si>
    <t>Arjun Das</t>
  </si>
  <si>
    <t>EMP-009</t>
  </si>
  <si>
    <t>Meera Joshi</t>
  </si>
  <si>
    <t>EMP-010</t>
  </si>
  <si>
    <t>Suresh Kumar</t>
  </si>
  <si>
    <t>EMP-011</t>
  </si>
  <si>
    <t>Pooja Verma</t>
  </si>
  <si>
    <t>EMP-012</t>
  </si>
  <si>
    <t>Rahul Gupta</t>
  </si>
  <si>
    <t>EMP-013</t>
  </si>
  <si>
    <t>Nisha Pillai</t>
  </si>
  <si>
    <t>EMP-014</t>
  </si>
  <si>
    <t>Amit Tiwari</t>
  </si>
  <si>
    <t>EMP-015</t>
  </si>
  <si>
    <t>Ritu Bansal</t>
  </si>
  <si>
    <t>EMP-016</t>
  </si>
  <si>
    <t>Dev Malhotra</t>
  </si>
  <si>
    <t>EMP-017</t>
  </si>
  <si>
    <t>Kavya Nambiar</t>
  </si>
  <si>
    <t>EMP-018</t>
  </si>
  <si>
    <t>Sanjay Roy</t>
  </si>
  <si>
    <t>EMP-019</t>
  </si>
  <si>
    <t>Lakshmi Menon</t>
  </si>
  <si>
    <t>EMP-020</t>
  </si>
  <si>
    <t>Nikhil Sharma</t>
  </si>
  <si>
    <t>TASK GUIDE — Build these 3 formulas in columns H, I, J</t>
  </si>
  <si>
    <t>H4:H23</t>
  </si>
  <si>
    <t>IF + AND</t>
  </si>
  <si>
    <t>Yes if Tasks Completed &gt;= Target AND Rating &gt;= 4. Otherwise No.</t>
  </si>
  <si>
    <t>I4:I23</t>
  </si>
  <si>
    <t>IFS</t>
  </si>
  <si>
    <t>Grade by Rating: 5=Outstanding, 4=Good, 3=Average, 2 or below=Needs Improvement</t>
  </si>
  <si>
    <t>J4:J23</t>
  </si>
  <si>
    <t>If eligible: Rating 5 = 15% of salary. Rating 4 = 10% of salary. Not eligible = 0</t>
  </si>
  <si>
    <t>Summary Table — Department Analysis  |  Day 10 Practice</t>
  </si>
  <si>
    <t>Columns B-G = YOUR formulas using COUNTIF, SUMIF, AVERAGEIF. Column A = given.</t>
  </si>
  <si>
    <t>Headcount</t>
  </si>
  <si>
    <t>Total Salary (Rs)</t>
  </si>
  <si>
    <t>Avg Salary (Rs)</t>
  </si>
  <si>
    <t>Total Tasks Done</t>
  </si>
  <si>
    <t>Avg Rating</t>
  </si>
  <si>
    <t>Bonus Eligible Count</t>
  </si>
  <si>
    <t>TASK GUIDE — Summary formulas for the Sales row (B4). Drag/copy down for other departments.</t>
  </si>
  <si>
    <t>B4</t>
  </si>
  <si>
    <t>COUNTIF</t>
  </si>
  <si>
    <t>Count employees where Department = Sales</t>
  </si>
  <si>
    <t>C4</t>
  </si>
  <si>
    <t>SUMIF</t>
  </si>
  <si>
    <t>Total Salary</t>
  </si>
  <si>
    <t>Sum salaries where Department = Sales</t>
  </si>
  <si>
    <t>D4</t>
  </si>
  <si>
    <t>AVERAGEIF</t>
  </si>
  <si>
    <t>Avg Salary</t>
  </si>
  <si>
    <t>Average salary for Sales employees</t>
  </si>
  <si>
    <t>E4</t>
  </si>
  <si>
    <t>Sum tasks completed where Department = Sales</t>
  </si>
  <si>
    <t>F4</t>
  </si>
  <si>
    <t>Average rating for Sales employees</t>
  </si>
  <si>
    <t>G4</t>
  </si>
  <si>
    <t>COUNTIFS</t>
  </si>
  <si>
    <t>Count employees in Sales where Bonus Eligible = Yes</t>
  </si>
  <si>
    <t>Day 10 Concept Notes — COUNTIF, SUMIF, AVERAGEIF + IF with AND/OR</t>
  </si>
  <si>
    <t>Function</t>
  </si>
  <si>
    <t>What it does</t>
  </si>
  <si>
    <t>Plain English example</t>
  </si>
  <si>
    <t>── COUNTIF / SUMIF / AVERAGEIF ──</t>
  </si>
  <si>
    <t>COUNTIF(C4:C23, Sales)  How many Sales employees?</t>
  </si>
  <si>
    <t>SUMIF(C4:C23, Sales, D4:D23)  Total salary for Sales dept</t>
  </si>
  <si>
    <t>AVERAGEIF(C4:C23, Sales, G4:G23)  Avg rating in Sales</t>
  </si>
  <si>
    <t>COUNTIFS(C4:C23, Sales, H4:H23, Yes)  Sales employees who are bonus eligible</t>
  </si>
  <si>
    <t>SUMIFS</t>
  </si>
  <si>
    <t>SUMIFS(D4:D23, C4:C23, Sales, G4:G23, 5)  Salary of Outstanding Sales staff</t>
  </si>
  <si>
    <t>── IF WITH AND / OR ──</t>
  </si>
  <si>
    <t>IF(AND(E4&gt;=F4, G4&gt;=4), Yes, No)  Met target AND rating &gt;= 4</t>
  </si>
  <si>
    <t>IF + OR</t>
  </si>
  <si>
    <t>IF(OR(G4=5, E4&gt;=F4*1.2), Star, Standard)  Outstanding OR exceeded by 20%</t>
  </si>
  <si>
    <t>Nested bonus calc</t>
  </si>
  <si>
    <t>Eligible check first, then rate check inside the true branch</t>
  </si>
  <si>
    <t>── COMMON MISTAKES ──</t>
  </si>
  <si>
    <t>COUNTIF criteria quotes</t>
  </si>
  <si>
    <t>Text criteria must be in quotes: COUNTIF(C:C, Sales) fails. COUNTIF(C:C, "Sales") works.</t>
  </si>
  <si>
    <t>Numbers don't need quotes: COUNTIF(G:G, 5) is fine</t>
  </si>
  <si>
    <t>SUMIF argument order</t>
  </si>
  <si>
    <t>SUMIF(criteria_range, criteria, sum_range) — 3rd argument is what to add up.</t>
  </si>
  <si>
    <t>Common error: swapping sum_range and criteria_range</t>
  </si>
  <si>
    <t>AVERAGEIF vs AVERAGE+IF</t>
  </si>
  <si>
    <t>AVERAGEIF is one function. Never use =AVERAGE(IF(...)) — that's an array formula and behaves differently.</t>
  </si>
  <si>
    <t>Always use AVERAGEIF for conditional averages in Excel</t>
  </si>
  <si>
    <t>AND inside IF</t>
  </si>
  <si>
    <t>AND() must be inside IF() — it cannot stand alone as a cell value in the same way.</t>
  </si>
  <si>
    <t>Day 10 Scoring Guide — Total: 50 points</t>
  </si>
  <si>
    <t>Task</t>
  </si>
  <si>
    <t>Points</t>
  </si>
  <si>
    <t>What is checked</t>
  </si>
  <si>
    <t>Employee Data — Col H: Bonus Eligible</t>
  </si>
  <si>
    <t>8 pts</t>
  </si>
  <si>
    <t>IF+AND logic. Yes = Tasks&gt;=Target AND Rating&gt;=4. All 20 rows correct. -1pt per error.</t>
  </si>
  <si>
    <t>Employee Data — Col I: Performance Grade</t>
  </si>
  <si>
    <t>IFS by rating. Outstanding/Good/Average/Needs Improvement. Exact text. -1pt per error.</t>
  </si>
  <si>
    <t>Employee Data — Col J: Bonus Amount</t>
  </si>
  <si>
    <t>IF+AND nested logic. Rating 5 = 15% salary. Rating 4 = 10% salary. Not eligible = 0.</t>
  </si>
  <si>
    <t>Summary — Col B: Headcount (COUNTIF)</t>
  </si>
  <si>
    <t>6 pts</t>
  </si>
  <si>
    <t>Sales=5, Tech=5, Finance=5, HR=5. Formula must use COUNTIF referencing Employee Data.</t>
  </si>
  <si>
    <t>Summary — Col C: Total Salary (SUMIF)</t>
  </si>
  <si>
    <t>5 pts</t>
  </si>
  <si>
    <t>Correct sum per department. Formula approach only — no manual addition.</t>
  </si>
  <si>
    <t>Summary — Col D: Avg Salary (AVERAGEIF)</t>
  </si>
  <si>
    <t>Correct average per department. Rounded to nearest rupee acceptable.</t>
  </si>
  <si>
    <t>Summary — Col E: Total Tasks (SUMIF)</t>
  </si>
  <si>
    <t>4 pts</t>
  </si>
  <si>
    <t>Sum of tasks completed per department from Employee Data.</t>
  </si>
  <si>
    <t>Summary — Col F: Avg Rating (AVERAGEIF)</t>
  </si>
  <si>
    <t>2 pts</t>
  </si>
  <si>
    <t>Average rating per department. 1 decimal place acceptable.</t>
  </si>
  <si>
    <t>Summary — Col G: Bonus Count (COUNTIFS)</t>
  </si>
  <si>
    <t>Count of bonus-eligible employees per department. Uses COUNTIFS with 2 conditions.</t>
  </si>
  <si>
    <t>IMPORTANT: Summary Table formulas must reference Employee Data sheet using COUNTIF/SUMIF/AVERAGEIF. Manually counting or hardcoding numbers = 0 pts for that cell even if the value is correct.</t>
  </si>
  <si>
    <t>ANSWER KEY — Employee Data columns H, I, J</t>
  </si>
  <si>
    <t>Employee</t>
  </si>
  <si>
    <t>Bonus Eligible</t>
  </si>
  <si>
    <t>Grade  |  Bonus Amount</t>
  </si>
  <si>
    <t>Yes</t>
  </si>
  <si>
    <t>Good         |  Rs 5,200  (10% of 52,000)</t>
  </si>
  <si>
    <t>No</t>
  </si>
  <si>
    <t>Average      |  Rs 0</t>
  </si>
  <si>
    <t>Outstanding  |  Rs 6,150  (15% of 41,000)</t>
  </si>
  <si>
    <t>Needs Improvement | Rs 0</t>
  </si>
  <si>
    <t>Outstanding  |  Rs 10,650 (15% of 71,000)</t>
  </si>
  <si>
    <t>Good         |  Rs 0  (tasks 41 &lt; target 45)</t>
  </si>
  <si>
    <t>Good         |  Rs 4,900  (10% of 49,000)</t>
  </si>
  <si>
    <t>Outstanding  |  Rs 11,100 (15% of 74,000)</t>
  </si>
  <si>
    <t>Good         |  Rs 6,100  (10% of 61,000)</t>
  </si>
  <si>
    <t>Average      |  Rs 0  (tasks 36 &lt; target 40)</t>
  </si>
  <si>
    <t>Outstanding  |  Rs 11,400 (15% of 76,000)</t>
  </si>
  <si>
    <t>Average      |  Rs 0  (tasks 39 &lt; target 45)</t>
  </si>
  <si>
    <t>Outstanding  |  Rs 6,300  (15% of 42,000)</t>
  </si>
  <si>
    <t>Good         |  Rs 5,300  (10% of 53,000)</t>
  </si>
  <si>
    <t>Average      |  Rs 0  (tasks 51 &lt; target 55)</t>
  </si>
  <si>
    <t>Good         |  Rs 6,700  (10% of 67,000)</t>
  </si>
  <si>
    <t>Outstanding  |  Rs 6,600  (15% of 44,000)</t>
  </si>
  <si>
    <t>Average      |  Rs 0  (tasks 48 &lt; target 55)</t>
  </si>
  <si>
    <t>ANSWER KEY — Summary Table</t>
  </si>
  <si>
    <t>Total Salary | Avg Salary | Total Tasks | Avg Rating | Bonus Count</t>
  </si>
  <si>
    <t>5</t>
  </si>
  <si>
    <t>Rs 2,57,000 | Rs 51,400 | 209 tasks | 3.0 | 3 eligible</t>
  </si>
  <si>
    <t>Rs 3,24,000 | Rs 64,800 | 214 tasks | 3.6 | 3 eligible</t>
  </si>
  <si>
    <t>Rs 3,62,000 | Rs 72,400 | 281 tasks | 4.2 | 4 eligible</t>
  </si>
  <si>
    <t>Rs 2,06,000 | Rs 41,200 | 218 tasks | 3.4 | 3 eligible</t>
  </si>
  <si>
    <t>It helps us to count the employees and that particular department</t>
  </si>
  <si>
    <t>It helps us to calculate the total salary of that particular department</t>
  </si>
  <si>
    <t>It helps us to calculate the average of the salary or ratings in that particular department</t>
  </si>
  <si>
    <t>It helps us to count the employees matching multiple conditions, such as department and bonus eligibility at the same time</t>
  </si>
  <si>
    <t>It helps us to calculate the total salary (or any value) where multiple conditions are met simultaneously, such as department and rating</t>
  </si>
  <si>
    <t>=IF(AND(cond1, cond2), true_val, false_val)  Both conditions must be true.</t>
  </si>
  <si>
    <t>=IF(OR(cond1, cond2), true_val, false_val)  Either condition can be true.</t>
  </si>
  <si>
    <t>=IF(AND(E4&gt;=F4,G4&gt;=4), IF(G4=5, D4*0.15, D4*0.1), 0)  Two-level bonus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</si>
</sst>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C00000"/>
      <name val="Arial"/>
    </font>
    <font>
      <b/>
      <sz val="10"/>
      <color rgb="FFFFFFFF"/>
      <name val="Arial"/>
    </font>
    <font>
      <b/>
      <sz val="11"/>
      <color rgb="FF2E5EAA"/>
      <name val="Arial"/>
    </font>
    <font>
      <sz val="11"/>
      <color rgb="FF00000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color rgb="FF2E5EAA"/>
      <name val="Arial"/>
    </font>
    <font>
      <b/>
      <sz val="9"/>
      <color rgb="FFC00000"/>
      <name val="Courier New"/>
    </font>
    <font>
      <i/>
      <sz val="9"/>
      <color rgb="FF595959"/>
      <name val="Arial"/>
    </font>
    <font>
      <b/>
      <sz val="11"/>
      <color rgb="FF000000"/>
      <name val="Arial"/>
    </font>
    <font>
      <b/>
      <sz val="13"/>
      <color rgb="FFFFFFFF"/>
      <name val="Arial"/>
    </font>
    <font>
      <sz val="10"/>
      <color rgb="FF000000"/>
      <name val="Arial"/>
    </font>
    <font>
      <sz val="9"/>
      <color rgb="FF000000"/>
      <name val="Arial"/>
    </font>
    <font>
      <b/>
      <sz val="11"/>
      <color rgb="FF1E6B3C"/>
      <name val="Arial"/>
    </font>
    <font>
      <b/>
      <sz val="10"/>
      <color rgb="FF375623"/>
      <name val="Arial"/>
    </font>
    <font>
      <sz val="9"/>
      <color rgb="FF595959"/>
      <name val="Arial"/>
    </font>
    <font>
      <b/>
      <sz val="10"/>
      <color rgb="FFC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0F0"/>
      </patternFill>
    </fill>
    <fill>
      <patternFill patternType="solid">
        <fgColor rgb="FF2E5EAA"/>
      </patternFill>
    </fill>
    <fill>
      <patternFill patternType="solid">
        <fgColor rgb="FF1E6B3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F0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8F5"/>
      </patternFill>
    </fill>
    <fill>
      <patternFill patternType="solid">
        <fgColor rgb="FFEAE0F5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11" borderId="1" xfId="0" applyFont="1" applyFill="1" applyBorder="1" applyAlignment="1">
      <alignment horizontal="left" vertical="center" wrapText="1"/>
    </xf>
    <xf numFmtId="0" fontId="0" fillId="0" borderId="1" xfId="0" applyBorder="1"/>
    <xf numFmtId="0" fontId="9" fillId="1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3" fillId="6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7D6372-630B-4D67-B5D7-320FBFFBF62C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opLeftCell="A4" workbookViewId="0">
      <selection activeCell="J7" sqref="J7"/>
    </sheetView>
  </sheetViews>
  <sheetFormatPr defaultRowHeight="14.4" x14ac:dyDescent="0.3"/>
  <cols>
    <col min="1" max="1" width="13" customWidth="1"/>
    <col min="2" max="2" width="22" customWidth="1"/>
    <col min="3" max="4" width="14" customWidth="1"/>
    <col min="5" max="6" width="16" customWidth="1"/>
    <col min="7" max="7" width="14" customWidth="1"/>
    <col min="8" max="9" width="20" customWidth="1"/>
    <col min="10" max="10" width="24" customWidth="1"/>
  </cols>
  <sheetData>
    <row r="1" spans="1:10" ht="30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9.95" customHeight="1" x14ac:dyDescent="0.3">
      <c r="A2" s="53" t="s">
        <v>1</v>
      </c>
      <c r="B2" s="47"/>
      <c r="C2" s="47"/>
      <c r="D2" s="47"/>
      <c r="E2" s="47"/>
      <c r="F2" s="47"/>
      <c r="G2" s="47"/>
      <c r="H2" s="47"/>
      <c r="I2" s="47"/>
      <c r="J2" s="47"/>
    </row>
    <row r="3" spans="1:10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2" t="s">
        <v>10</v>
      </c>
      <c r="J3" s="2" t="s">
        <v>11</v>
      </c>
    </row>
    <row r="4" spans="1:10" ht="18" customHeight="1" x14ac:dyDescent="0.3">
      <c r="A4" s="3" t="s">
        <v>12</v>
      </c>
      <c r="B4" s="4" t="s">
        <v>13</v>
      </c>
      <c r="C4" s="5" t="s">
        <v>14</v>
      </c>
      <c r="D4" s="5">
        <v>52000</v>
      </c>
      <c r="E4" s="5">
        <v>47</v>
      </c>
      <c r="F4" s="5">
        <v>40</v>
      </c>
      <c r="G4" s="5">
        <v>4</v>
      </c>
      <c r="H4" s="6" t="str">
        <f>IF(AND(E4&gt;=F4,G4&gt;=4),"Yes","No")</f>
        <v>Yes</v>
      </c>
      <c r="I4" s="6" t="str">
        <f>_xlfn.IFS(G4=5,"Outstanding",G4=4,"Good",G4=3,"Average",G4&lt;=2,"Needs Improvement")</f>
        <v>Good</v>
      </c>
      <c r="J4" s="6">
        <f>IF(AND(E4&gt;=F4,G4&gt;=4),IF(G4=5,D4*0.15,D4*0.1),0)</f>
        <v>5200</v>
      </c>
    </row>
    <row r="5" spans="1:10" ht="18" customHeight="1" x14ac:dyDescent="0.3">
      <c r="A5" s="7" t="s">
        <v>15</v>
      </c>
      <c r="B5" s="8" t="s">
        <v>16</v>
      </c>
      <c r="C5" s="9" t="s">
        <v>17</v>
      </c>
      <c r="D5" s="9">
        <v>68000</v>
      </c>
      <c r="E5" s="9">
        <v>38</v>
      </c>
      <c r="F5" s="9">
        <v>45</v>
      </c>
      <c r="G5" s="9">
        <v>3</v>
      </c>
      <c r="H5" s="6" t="str">
        <f t="shared" ref="H5:H23" si="0">IF(AND(E5&gt;=F5,G5&gt;=4),"Yes","No")</f>
        <v>No</v>
      </c>
      <c r="I5" s="6" t="str">
        <f t="shared" ref="I5:I23" si="1">_xlfn.IFS(G5=5,"Outstanding",G5=4,"Good",G5=3,"Average",G5&lt;=2,"Needs Improvement")</f>
        <v>Average</v>
      </c>
      <c r="J5" s="6">
        <f t="shared" ref="J5:J23" si="2">IF(AND(E5&gt;=F5,G5&gt;=4),IF(G5=5,D5*0.15,D5*0.1),0)</f>
        <v>0</v>
      </c>
    </row>
    <row r="6" spans="1:10" ht="18" customHeight="1" x14ac:dyDescent="0.3">
      <c r="A6" s="3" t="s">
        <v>18</v>
      </c>
      <c r="B6" s="4" t="s">
        <v>19</v>
      </c>
      <c r="C6" s="5" t="s">
        <v>20</v>
      </c>
      <c r="D6" s="5">
        <v>41000</v>
      </c>
      <c r="E6" s="5">
        <v>52</v>
      </c>
      <c r="F6" s="5">
        <v>50</v>
      </c>
      <c r="G6" s="5">
        <v>5</v>
      </c>
      <c r="H6" s="6" t="str">
        <f t="shared" si="0"/>
        <v>Yes</v>
      </c>
      <c r="I6" s="6" t="str">
        <f t="shared" si="1"/>
        <v>Outstanding</v>
      </c>
      <c r="J6" s="6">
        <f t="shared" si="2"/>
        <v>6150</v>
      </c>
    </row>
    <row r="7" spans="1:10" ht="18" customHeight="1" x14ac:dyDescent="0.3">
      <c r="A7" s="7" t="s">
        <v>21</v>
      </c>
      <c r="B7" s="8" t="s">
        <v>22</v>
      </c>
      <c r="C7" s="9" t="s">
        <v>14</v>
      </c>
      <c r="D7" s="9">
        <v>55000</v>
      </c>
      <c r="E7" s="9">
        <v>33</v>
      </c>
      <c r="F7" s="9">
        <v>40</v>
      </c>
      <c r="G7" s="9">
        <v>2</v>
      </c>
      <c r="H7" s="6" t="str">
        <f t="shared" si="0"/>
        <v>No</v>
      </c>
      <c r="I7" s="6" t="str">
        <f t="shared" si="1"/>
        <v>Needs Improvement</v>
      </c>
      <c r="J7" s="6">
        <f t="shared" si="2"/>
        <v>0</v>
      </c>
    </row>
    <row r="8" spans="1:10" ht="18" customHeight="1" x14ac:dyDescent="0.3">
      <c r="A8" s="3" t="s">
        <v>23</v>
      </c>
      <c r="B8" s="4" t="s">
        <v>24</v>
      </c>
      <c r="C8" s="5" t="s">
        <v>25</v>
      </c>
      <c r="D8" s="5">
        <v>71000</v>
      </c>
      <c r="E8" s="5">
        <v>61</v>
      </c>
      <c r="F8" s="5">
        <v>55</v>
      </c>
      <c r="G8" s="5">
        <v>5</v>
      </c>
      <c r="H8" s="6" t="str">
        <f t="shared" si="0"/>
        <v>Yes</v>
      </c>
      <c r="I8" s="6" t="str">
        <f t="shared" si="1"/>
        <v>Outstanding</v>
      </c>
      <c r="J8" s="6">
        <f t="shared" si="2"/>
        <v>10650</v>
      </c>
    </row>
    <row r="9" spans="1:10" ht="18" customHeight="1" x14ac:dyDescent="0.3">
      <c r="A9" s="7" t="s">
        <v>26</v>
      </c>
      <c r="B9" s="8" t="s">
        <v>27</v>
      </c>
      <c r="C9" s="9" t="s">
        <v>17</v>
      </c>
      <c r="D9" s="9">
        <v>63000</v>
      </c>
      <c r="E9" s="9">
        <v>41</v>
      </c>
      <c r="F9" s="9">
        <v>45</v>
      </c>
      <c r="G9" s="9">
        <v>4</v>
      </c>
      <c r="H9" s="6" t="str">
        <f t="shared" si="0"/>
        <v>No</v>
      </c>
      <c r="I9" s="6" t="str">
        <f t="shared" si="1"/>
        <v>Good</v>
      </c>
      <c r="J9" s="6">
        <f t="shared" si="2"/>
        <v>0</v>
      </c>
    </row>
    <row r="10" spans="1:10" ht="18" customHeight="1" x14ac:dyDescent="0.3">
      <c r="A10" s="3" t="s">
        <v>28</v>
      </c>
      <c r="B10" s="4" t="s">
        <v>29</v>
      </c>
      <c r="C10" s="5" t="s">
        <v>14</v>
      </c>
      <c r="D10" s="5">
        <v>49000</v>
      </c>
      <c r="E10" s="5">
        <v>44</v>
      </c>
      <c r="F10" s="5">
        <v>40</v>
      </c>
      <c r="G10" s="5">
        <v>4</v>
      </c>
      <c r="H10" s="6" t="str">
        <f t="shared" si="0"/>
        <v>Yes</v>
      </c>
      <c r="I10" s="6" t="str">
        <f t="shared" si="1"/>
        <v>Good</v>
      </c>
      <c r="J10" s="6">
        <f t="shared" si="2"/>
        <v>4900</v>
      </c>
    </row>
    <row r="11" spans="1:10" ht="18" customHeight="1" x14ac:dyDescent="0.3">
      <c r="A11" s="7" t="s">
        <v>30</v>
      </c>
      <c r="B11" s="8" t="s">
        <v>31</v>
      </c>
      <c r="C11" s="9" t="s">
        <v>25</v>
      </c>
      <c r="D11" s="9">
        <v>74000</v>
      </c>
      <c r="E11" s="9">
        <v>58</v>
      </c>
      <c r="F11" s="9">
        <v>55</v>
      </c>
      <c r="G11" s="9">
        <v>5</v>
      </c>
      <c r="H11" s="6" t="str">
        <f t="shared" si="0"/>
        <v>Yes</v>
      </c>
      <c r="I11" s="6" t="str">
        <f t="shared" si="1"/>
        <v>Outstanding</v>
      </c>
      <c r="J11" s="6">
        <f t="shared" si="2"/>
        <v>11100</v>
      </c>
    </row>
    <row r="12" spans="1:10" ht="18" customHeight="1" x14ac:dyDescent="0.3">
      <c r="A12" s="3" t="s">
        <v>32</v>
      </c>
      <c r="B12" s="4" t="s">
        <v>33</v>
      </c>
      <c r="C12" s="5" t="s">
        <v>20</v>
      </c>
      <c r="D12" s="5">
        <v>39000</v>
      </c>
      <c r="E12" s="5">
        <v>29</v>
      </c>
      <c r="F12" s="5">
        <v>50</v>
      </c>
      <c r="G12" s="5">
        <v>2</v>
      </c>
      <c r="H12" s="6" t="str">
        <f t="shared" si="0"/>
        <v>No</v>
      </c>
      <c r="I12" s="6" t="str">
        <f t="shared" si="1"/>
        <v>Needs Improvement</v>
      </c>
      <c r="J12" s="6">
        <f t="shared" si="2"/>
        <v>0</v>
      </c>
    </row>
    <row r="13" spans="1:10" ht="18" customHeight="1" x14ac:dyDescent="0.3">
      <c r="A13" s="7" t="s">
        <v>34</v>
      </c>
      <c r="B13" s="8" t="s">
        <v>35</v>
      </c>
      <c r="C13" s="9" t="s">
        <v>17</v>
      </c>
      <c r="D13" s="9">
        <v>61000</v>
      </c>
      <c r="E13" s="9">
        <v>50</v>
      </c>
      <c r="F13" s="9">
        <v>45</v>
      </c>
      <c r="G13" s="9">
        <v>4</v>
      </c>
      <c r="H13" s="6" t="str">
        <f t="shared" si="0"/>
        <v>Yes</v>
      </c>
      <c r="I13" s="6" t="str">
        <f t="shared" si="1"/>
        <v>Good</v>
      </c>
      <c r="J13" s="6">
        <f t="shared" si="2"/>
        <v>6100</v>
      </c>
    </row>
    <row r="14" spans="1:10" ht="18" customHeight="1" x14ac:dyDescent="0.3">
      <c r="A14" s="3" t="s">
        <v>36</v>
      </c>
      <c r="B14" s="4" t="s">
        <v>37</v>
      </c>
      <c r="C14" s="5" t="s">
        <v>14</v>
      </c>
      <c r="D14" s="5">
        <v>50000</v>
      </c>
      <c r="E14" s="5">
        <v>36</v>
      </c>
      <c r="F14" s="5">
        <v>40</v>
      </c>
      <c r="G14" s="5">
        <v>3</v>
      </c>
      <c r="H14" s="6" t="str">
        <f t="shared" si="0"/>
        <v>No</v>
      </c>
      <c r="I14" s="6" t="str">
        <f t="shared" si="1"/>
        <v>Average</v>
      </c>
      <c r="J14" s="6">
        <f t="shared" si="2"/>
        <v>0</v>
      </c>
    </row>
    <row r="15" spans="1:10" ht="18" customHeight="1" x14ac:dyDescent="0.3">
      <c r="A15" s="7" t="s">
        <v>38</v>
      </c>
      <c r="B15" s="8" t="s">
        <v>39</v>
      </c>
      <c r="C15" s="9" t="s">
        <v>25</v>
      </c>
      <c r="D15" s="9">
        <v>76000</v>
      </c>
      <c r="E15" s="9">
        <v>63</v>
      </c>
      <c r="F15" s="9">
        <v>55</v>
      </c>
      <c r="G15" s="9">
        <v>5</v>
      </c>
      <c r="H15" s="6" t="str">
        <f t="shared" si="0"/>
        <v>Yes</v>
      </c>
      <c r="I15" s="6" t="str">
        <f t="shared" si="1"/>
        <v>Outstanding</v>
      </c>
      <c r="J15" s="6">
        <f t="shared" si="2"/>
        <v>11400</v>
      </c>
    </row>
    <row r="16" spans="1:10" ht="18" customHeight="1" x14ac:dyDescent="0.3">
      <c r="A16" s="3" t="s">
        <v>40</v>
      </c>
      <c r="B16" s="4" t="s">
        <v>41</v>
      </c>
      <c r="C16" s="5" t="s">
        <v>17</v>
      </c>
      <c r="D16" s="5">
        <v>65000</v>
      </c>
      <c r="E16" s="5">
        <v>39</v>
      </c>
      <c r="F16" s="5">
        <v>45</v>
      </c>
      <c r="G16" s="5">
        <v>3</v>
      </c>
      <c r="H16" s="6" t="str">
        <f t="shared" si="0"/>
        <v>No</v>
      </c>
      <c r="I16" s="6" t="str">
        <f t="shared" si="1"/>
        <v>Average</v>
      </c>
      <c r="J16" s="6">
        <f t="shared" si="2"/>
        <v>0</v>
      </c>
    </row>
    <row r="17" spans="1:10" ht="18" customHeight="1" x14ac:dyDescent="0.3">
      <c r="A17" s="7" t="s">
        <v>42</v>
      </c>
      <c r="B17" s="8" t="s">
        <v>43</v>
      </c>
      <c r="C17" s="9" t="s">
        <v>20</v>
      </c>
      <c r="D17" s="9">
        <v>42000</v>
      </c>
      <c r="E17" s="9">
        <v>55</v>
      </c>
      <c r="F17" s="9">
        <v>50</v>
      </c>
      <c r="G17" s="9">
        <v>5</v>
      </c>
      <c r="H17" s="6" t="str">
        <f t="shared" si="0"/>
        <v>Yes</v>
      </c>
      <c r="I17" s="6" t="str">
        <f t="shared" si="1"/>
        <v>Outstanding</v>
      </c>
      <c r="J17" s="6">
        <f t="shared" si="2"/>
        <v>6300</v>
      </c>
    </row>
    <row r="18" spans="1:10" ht="18" customHeight="1" x14ac:dyDescent="0.3">
      <c r="A18" s="3" t="s">
        <v>44</v>
      </c>
      <c r="B18" s="4" t="s">
        <v>45</v>
      </c>
      <c r="C18" s="5" t="s">
        <v>14</v>
      </c>
      <c r="D18" s="5">
        <v>53000</v>
      </c>
      <c r="E18" s="5">
        <v>48</v>
      </c>
      <c r="F18" s="5">
        <v>40</v>
      </c>
      <c r="G18" s="5">
        <v>4</v>
      </c>
      <c r="H18" s="6" t="str">
        <f t="shared" si="0"/>
        <v>Yes</v>
      </c>
      <c r="I18" s="6" t="str">
        <f t="shared" si="1"/>
        <v>Good</v>
      </c>
      <c r="J18" s="6">
        <f t="shared" si="2"/>
        <v>5300</v>
      </c>
    </row>
    <row r="19" spans="1:10" ht="18" customHeight="1" x14ac:dyDescent="0.3">
      <c r="A19" s="7" t="s">
        <v>46</v>
      </c>
      <c r="B19" s="8" t="s">
        <v>47</v>
      </c>
      <c r="C19" s="9" t="s">
        <v>25</v>
      </c>
      <c r="D19" s="9">
        <v>69000</v>
      </c>
      <c r="E19" s="9">
        <v>51</v>
      </c>
      <c r="F19" s="9">
        <v>55</v>
      </c>
      <c r="G19" s="9">
        <v>3</v>
      </c>
      <c r="H19" s="6" t="str">
        <f t="shared" si="0"/>
        <v>No</v>
      </c>
      <c r="I19" s="6" t="str">
        <f t="shared" si="1"/>
        <v>Average</v>
      </c>
      <c r="J19" s="6">
        <f t="shared" si="2"/>
        <v>0</v>
      </c>
    </row>
    <row r="20" spans="1:10" ht="18" customHeight="1" x14ac:dyDescent="0.3">
      <c r="A20" s="3" t="s">
        <v>48</v>
      </c>
      <c r="B20" s="4" t="s">
        <v>49</v>
      </c>
      <c r="C20" s="5" t="s">
        <v>17</v>
      </c>
      <c r="D20" s="5">
        <v>67000</v>
      </c>
      <c r="E20" s="5">
        <v>46</v>
      </c>
      <c r="F20" s="5">
        <v>45</v>
      </c>
      <c r="G20" s="5">
        <v>4</v>
      </c>
      <c r="H20" s="6" t="str">
        <f t="shared" si="0"/>
        <v>Yes</v>
      </c>
      <c r="I20" s="6" t="str">
        <f t="shared" si="1"/>
        <v>Good</v>
      </c>
      <c r="J20" s="6">
        <f t="shared" si="2"/>
        <v>6700</v>
      </c>
    </row>
    <row r="21" spans="1:10" ht="18" customHeight="1" x14ac:dyDescent="0.3">
      <c r="A21" s="7" t="s">
        <v>50</v>
      </c>
      <c r="B21" s="8" t="s">
        <v>51</v>
      </c>
      <c r="C21" s="9" t="s">
        <v>14</v>
      </c>
      <c r="D21" s="9">
        <v>48000</v>
      </c>
      <c r="E21" s="9">
        <v>31</v>
      </c>
      <c r="F21" s="9">
        <v>40</v>
      </c>
      <c r="G21" s="9">
        <v>2</v>
      </c>
      <c r="H21" s="6" t="str">
        <f t="shared" si="0"/>
        <v>No</v>
      </c>
      <c r="I21" s="6" t="str">
        <f t="shared" si="1"/>
        <v>Needs Improvement</v>
      </c>
      <c r="J21" s="6">
        <f t="shared" si="2"/>
        <v>0</v>
      </c>
    </row>
    <row r="22" spans="1:10" ht="18" customHeight="1" x14ac:dyDescent="0.3">
      <c r="A22" s="3" t="s">
        <v>52</v>
      </c>
      <c r="B22" s="4" t="s">
        <v>53</v>
      </c>
      <c r="C22" s="5" t="s">
        <v>20</v>
      </c>
      <c r="D22" s="5">
        <v>44000</v>
      </c>
      <c r="E22" s="5">
        <v>53</v>
      </c>
      <c r="F22" s="5">
        <v>50</v>
      </c>
      <c r="G22" s="5">
        <v>5</v>
      </c>
      <c r="H22" s="6" t="str">
        <f t="shared" si="0"/>
        <v>Yes</v>
      </c>
      <c r="I22" s="6" t="str">
        <f t="shared" si="1"/>
        <v>Outstanding</v>
      </c>
      <c r="J22" s="6">
        <f t="shared" si="2"/>
        <v>6600</v>
      </c>
    </row>
    <row r="23" spans="1:10" ht="18" customHeight="1" x14ac:dyDescent="0.3">
      <c r="A23" s="7" t="s">
        <v>54</v>
      </c>
      <c r="B23" s="8" t="s">
        <v>55</v>
      </c>
      <c r="C23" s="9" t="s">
        <v>25</v>
      </c>
      <c r="D23" s="9">
        <v>72000</v>
      </c>
      <c r="E23" s="9">
        <v>48</v>
      </c>
      <c r="F23" s="9">
        <v>55</v>
      </c>
      <c r="G23" s="9">
        <v>3</v>
      </c>
      <c r="H23" s="6" t="str">
        <f t="shared" si="0"/>
        <v>No</v>
      </c>
      <c r="I23" s="6" t="str">
        <f t="shared" si="1"/>
        <v>Average</v>
      </c>
      <c r="J23" s="6">
        <f t="shared" si="2"/>
        <v>0</v>
      </c>
    </row>
    <row r="25" spans="1:10" ht="24" customHeight="1" x14ac:dyDescent="0.3">
      <c r="A25" s="55" t="s">
        <v>56</v>
      </c>
      <c r="B25" s="49"/>
      <c r="C25" s="49"/>
      <c r="D25" s="49"/>
      <c r="E25" s="49"/>
      <c r="F25" s="49"/>
      <c r="G25" s="49"/>
      <c r="H25" s="49"/>
      <c r="I25" s="49"/>
      <c r="J25" s="49"/>
    </row>
    <row r="26" spans="1:10" ht="40.049999999999997" customHeight="1" x14ac:dyDescent="0.3">
      <c r="A26" s="10" t="s">
        <v>57</v>
      </c>
      <c r="B26" s="11" t="s">
        <v>58</v>
      </c>
      <c r="C26" s="12" t="s">
        <v>9</v>
      </c>
      <c r="D26" s="52" t="str">
        <f>IF(AND(E4&gt;=F4,G4&gt;=4),"Yes","No")</f>
        <v>Yes</v>
      </c>
      <c r="E26" s="49"/>
      <c r="F26" s="49"/>
      <c r="G26" s="51" t="s">
        <v>59</v>
      </c>
      <c r="H26" s="49"/>
      <c r="I26" s="49"/>
      <c r="J26" s="49"/>
    </row>
    <row r="27" spans="1:10" ht="40.049999999999997" customHeight="1" x14ac:dyDescent="0.3">
      <c r="A27" s="13" t="s">
        <v>60</v>
      </c>
      <c r="B27" s="14" t="s">
        <v>61</v>
      </c>
      <c r="C27" s="15" t="s">
        <v>10</v>
      </c>
      <c r="D27" s="50" t="str">
        <f>IF(G4=5,"Outstanding",IF(G4=4,"Good",IF(G4=3,"Average","Needs Improvement")))</f>
        <v>Good</v>
      </c>
      <c r="E27" s="49"/>
      <c r="F27" s="49"/>
      <c r="G27" s="54" t="s">
        <v>62</v>
      </c>
      <c r="H27" s="49"/>
      <c r="I27" s="49"/>
      <c r="J27" s="49"/>
    </row>
    <row r="28" spans="1:10" ht="40.049999999999997" customHeight="1" x14ac:dyDescent="0.3">
      <c r="A28" s="16" t="s">
        <v>63</v>
      </c>
      <c r="B28" s="17" t="s">
        <v>58</v>
      </c>
      <c r="C28" s="18" t="s">
        <v>11</v>
      </c>
      <c r="D28" s="48">
        <f>IF(AND(E4&gt;=F4,G4&gt;=4),IF(G4=5,D4*0.15,D4*0.1),0)</f>
        <v>5200</v>
      </c>
      <c r="E28" s="49"/>
      <c r="F28" s="49"/>
      <c r="G28" s="56" t="s">
        <v>64</v>
      </c>
      <c r="H28" s="49"/>
      <c r="I28" s="49"/>
      <c r="J28" s="49"/>
    </row>
  </sheetData>
  <mergeCells count="9">
    <mergeCell ref="A1:J1"/>
    <mergeCell ref="D28:F28"/>
    <mergeCell ref="D27:F27"/>
    <mergeCell ref="G26:J26"/>
    <mergeCell ref="D26:F26"/>
    <mergeCell ref="A2:J2"/>
    <mergeCell ref="G27:J27"/>
    <mergeCell ref="A25:J25"/>
    <mergeCell ref="G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selection activeCell="F14" sqref="F14:G14"/>
    </sheetView>
  </sheetViews>
  <sheetFormatPr defaultRowHeight="14.4" x14ac:dyDescent="0.3"/>
  <cols>
    <col min="1" max="1" width="18" customWidth="1"/>
    <col min="2" max="3" width="22" customWidth="1"/>
    <col min="4" max="4" width="24" customWidth="1"/>
    <col min="5" max="6" width="22" customWidth="1"/>
    <col min="7" max="7" width="28" customWidth="1"/>
  </cols>
  <sheetData>
    <row r="1" spans="1:7" ht="30" customHeight="1" x14ac:dyDescent="0.3">
      <c r="A1" s="46" t="s">
        <v>65</v>
      </c>
      <c r="B1" s="47"/>
      <c r="C1" s="47"/>
      <c r="D1" s="47"/>
      <c r="E1" s="47"/>
      <c r="F1" s="47"/>
      <c r="G1" s="47"/>
    </row>
    <row r="2" spans="1:7" ht="19.95" customHeight="1" x14ac:dyDescent="0.3">
      <c r="A2" s="53" t="s">
        <v>66</v>
      </c>
      <c r="B2" s="47"/>
      <c r="C2" s="47"/>
      <c r="D2" s="47"/>
      <c r="E2" s="47"/>
      <c r="F2" s="47"/>
      <c r="G2" s="47"/>
    </row>
    <row r="3" spans="1:7" x14ac:dyDescent="0.3">
      <c r="A3" s="1" t="s">
        <v>4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</row>
    <row r="4" spans="1:7" ht="22.05" customHeight="1" x14ac:dyDescent="0.3">
      <c r="A4" s="19" t="s">
        <v>14</v>
      </c>
      <c r="B4">
        <f>COUNTIF('Employee Data'!C$4:C$23,A4)</f>
        <v>6</v>
      </c>
      <c r="C4" s="6">
        <f>SUMIF('Employee Data'!C$4:C$23,A4,'Employee Data'!D$4:D$23)</f>
        <v>307000</v>
      </c>
      <c r="D4" s="6">
        <f>AVERAGEIF('Employee Data'!C$4:C$23,A4,'Employee Data'!D$4:D$23)</f>
        <v>51166.666666666664</v>
      </c>
      <c r="E4" s="6">
        <f>SUMIF('Employee Data'!$C$4:$C$23,A4,'Employee Data'!$E$4:$E$23)</f>
        <v>239</v>
      </c>
      <c r="F4" s="6">
        <f>AVERAGEIF('Employee Data'!$C$4:$C$23,A4,'Employee Data'!$G$4:$G$23)</f>
        <v>3.1666666666666665</v>
      </c>
      <c r="G4" s="6">
        <f>COUNTIFS('Employee Data'!C$4:C$23,A4,'Employee Data'!H$4:H$23,"Yes")</f>
        <v>3</v>
      </c>
    </row>
    <row r="5" spans="1:7" ht="22.05" customHeight="1" x14ac:dyDescent="0.3">
      <c r="A5" s="20" t="s">
        <v>17</v>
      </c>
      <c r="B5">
        <f>COUNTIF('Employee Data'!C$4:C$23,A5)</f>
        <v>5</v>
      </c>
      <c r="C5" s="6">
        <f>SUMIF('Employee Data'!C$4:C$23,A5,'Employee Data'!D$4:D$23)</f>
        <v>324000</v>
      </c>
      <c r="D5" s="6">
        <f>AVERAGEIF('Employee Data'!C$4:C$23,A5,'Employee Data'!D$4:D$23)</f>
        <v>64800</v>
      </c>
      <c r="E5" s="6">
        <f>SUMIF('Employee Data'!$C$4:$C$23,A5,'Employee Data'!$E$4:$E$23)</f>
        <v>214</v>
      </c>
      <c r="F5" s="6">
        <f>AVERAGEIF('Employee Data'!$C$4:$C$23,A5,'Employee Data'!$G$4:$G$23)</f>
        <v>3.6</v>
      </c>
      <c r="G5" s="6">
        <f>COUNTIFS('Employee Data'!C$4:C$23,A5,'Employee Data'!H$4:H$23,"Yes")</f>
        <v>2</v>
      </c>
    </row>
    <row r="6" spans="1:7" ht="22.05" customHeight="1" x14ac:dyDescent="0.3">
      <c r="A6" s="21" t="s">
        <v>25</v>
      </c>
      <c r="B6">
        <f>COUNTIF('Employee Data'!C$4:C$23,A6)</f>
        <v>5</v>
      </c>
      <c r="C6" s="6">
        <f>SUMIF('Employee Data'!C$4:C$23,A6,'Employee Data'!D$4:D$23)</f>
        <v>362000</v>
      </c>
      <c r="D6" s="6">
        <f>AVERAGEIF('Employee Data'!C$4:C$23,A6,'Employee Data'!D$4:D$23)</f>
        <v>72400</v>
      </c>
      <c r="E6" s="6">
        <f>SUMIF('Employee Data'!$C$4:$C$23,A6,'Employee Data'!$E$4:$E$23)</f>
        <v>281</v>
      </c>
      <c r="F6" s="6">
        <f>AVERAGEIF('Employee Data'!$C$4:$C$23,A6,'Employee Data'!$G$4:$G$23)</f>
        <v>4.2</v>
      </c>
      <c r="G6" s="6">
        <f>COUNTIFS('Employee Data'!C$4:C$23,A6,'Employee Data'!H$4:H$23,"Yes")</f>
        <v>3</v>
      </c>
    </row>
    <row r="7" spans="1:7" ht="22.05" customHeight="1" x14ac:dyDescent="0.3">
      <c r="A7" s="22" t="s">
        <v>20</v>
      </c>
      <c r="B7">
        <f>COUNTIF('Employee Data'!C$4:C$23,A7)</f>
        <v>4</v>
      </c>
      <c r="C7" s="6">
        <f>SUMIF('Employee Data'!C$4:C$23,A7,'Employee Data'!D$4:D$23)</f>
        <v>166000</v>
      </c>
      <c r="D7" s="6">
        <f>AVERAGEIF('Employee Data'!C$4:C$23,A7,'Employee Data'!D$4:D$23)</f>
        <v>41500</v>
      </c>
      <c r="E7" s="6">
        <f>SUMIF('Employee Data'!$C$4:$C$23,A7,'Employee Data'!$E$4:$E$23)</f>
        <v>189</v>
      </c>
      <c r="F7" s="6">
        <f>AVERAGEIF('Employee Data'!$C$4:$C$23,A7,'Employee Data'!$G$4:$G$23)</f>
        <v>4.25</v>
      </c>
      <c r="G7" s="6">
        <f>COUNTIFS('Employee Data'!C$4:C$23,A7,'Employee Data'!H$4:H$23,"Yes")</f>
        <v>3</v>
      </c>
    </row>
    <row r="9" spans="1:7" ht="24" customHeight="1" x14ac:dyDescent="0.3">
      <c r="A9" s="55" t="s">
        <v>73</v>
      </c>
      <c r="B9" s="49"/>
      <c r="C9" s="49"/>
      <c r="D9" s="49"/>
      <c r="E9" s="49"/>
      <c r="F9" s="49"/>
      <c r="G9" s="49"/>
    </row>
    <row r="10" spans="1:7" ht="36" customHeight="1" x14ac:dyDescent="0.3">
      <c r="A10" s="10" t="s">
        <v>74</v>
      </c>
      <c r="B10" s="11" t="s">
        <v>75</v>
      </c>
      <c r="C10" s="12" t="s">
        <v>67</v>
      </c>
      <c r="D10" s="52">
        <f>COUNTIF('Employee Data'!C$4:C$23,A4)</f>
        <v>6</v>
      </c>
      <c r="E10" s="49"/>
      <c r="F10" s="51" t="s">
        <v>76</v>
      </c>
      <c r="G10" s="49"/>
    </row>
    <row r="11" spans="1:7" ht="36" customHeight="1" x14ac:dyDescent="0.3">
      <c r="A11" s="13" t="s">
        <v>77</v>
      </c>
      <c r="B11" s="14" t="s">
        <v>78</v>
      </c>
      <c r="C11" s="15" t="s">
        <v>79</v>
      </c>
      <c r="D11" s="50">
        <f>SUMIF('Employee Data'!C$4:C$23,A4,'Employee Data'!D$4:D$23)</f>
        <v>307000</v>
      </c>
      <c r="E11" s="49"/>
      <c r="F11" s="54" t="s">
        <v>80</v>
      </c>
      <c r="G11" s="49"/>
    </row>
    <row r="12" spans="1:7" ht="36" customHeight="1" x14ac:dyDescent="0.3">
      <c r="A12" s="23" t="s">
        <v>81</v>
      </c>
      <c r="B12" s="24" t="s">
        <v>82</v>
      </c>
      <c r="C12" s="25" t="s">
        <v>83</v>
      </c>
      <c r="D12" s="62">
        <f>AVERAGEIF('Employee Data'!C$4:C$23,A4,'Employee Data'!D$4:D$23)</f>
        <v>51166.666666666664</v>
      </c>
      <c r="E12" s="49"/>
      <c r="F12" s="57" t="s">
        <v>84</v>
      </c>
      <c r="G12" s="49"/>
    </row>
    <row r="13" spans="1:7" ht="36" customHeight="1" x14ac:dyDescent="0.3">
      <c r="A13" s="16" t="s">
        <v>85</v>
      </c>
      <c r="B13" s="17" t="s">
        <v>78</v>
      </c>
      <c r="C13" s="18" t="s">
        <v>70</v>
      </c>
      <c r="D13" s="48">
        <f>SUMIF('Employee Data'!C$4:C$23,A4,'Employee Data'!E$4:E$23)</f>
        <v>239</v>
      </c>
      <c r="E13" s="49"/>
      <c r="F13" s="56" t="s">
        <v>86</v>
      </c>
      <c r="G13" s="49"/>
    </row>
    <row r="14" spans="1:7" ht="36" customHeight="1" x14ac:dyDescent="0.3">
      <c r="A14" s="26" t="s">
        <v>87</v>
      </c>
      <c r="B14" s="27" t="s">
        <v>82</v>
      </c>
      <c r="C14" s="28" t="s">
        <v>71</v>
      </c>
      <c r="D14" s="60">
        <f>AVERAGEIF('Employee Data'!C$4:C$23,A4,'Employee Data'!G$4:G$23)</f>
        <v>3.1666666666666665</v>
      </c>
      <c r="E14" s="49"/>
      <c r="F14" s="61" t="s">
        <v>88</v>
      </c>
      <c r="G14" s="49"/>
    </row>
    <row r="15" spans="1:7" ht="36" customHeight="1" x14ac:dyDescent="0.3">
      <c r="A15" s="29" t="s">
        <v>89</v>
      </c>
      <c r="B15" s="30" t="s">
        <v>90</v>
      </c>
      <c r="C15" s="31" t="s">
        <v>72</v>
      </c>
      <c r="D15" s="59">
        <f>COUNTIFS('Employee Data'!C$4:C$23,A4,'Employee Data'!H$4:H$23,"Yes")</f>
        <v>3</v>
      </c>
      <c r="E15" s="49"/>
      <c r="F15" s="58" t="s">
        <v>91</v>
      </c>
      <c r="G15" s="49"/>
    </row>
  </sheetData>
  <mergeCells count="15">
    <mergeCell ref="F15:G15"/>
    <mergeCell ref="F10:G10"/>
    <mergeCell ref="D15:E15"/>
    <mergeCell ref="D11:E11"/>
    <mergeCell ref="D13:E13"/>
    <mergeCell ref="D14:E14"/>
    <mergeCell ref="F14:G14"/>
    <mergeCell ref="F13:G13"/>
    <mergeCell ref="D12:E12"/>
    <mergeCell ref="F11:G11"/>
    <mergeCell ref="F12:G12"/>
    <mergeCell ref="A1:G1"/>
    <mergeCell ref="D10:E10"/>
    <mergeCell ref="A9:G9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tabSelected="1" workbookViewId="0">
      <selection activeCell="B10" sqref="B10"/>
    </sheetView>
  </sheetViews>
  <sheetFormatPr defaultRowHeight="14.4" x14ac:dyDescent="0.3"/>
  <cols>
    <col min="1" max="1" width="24" customWidth="1"/>
    <col min="2" max="2" width="48" customWidth="1"/>
    <col min="3" max="3" width="40" customWidth="1"/>
  </cols>
  <sheetData>
    <row r="1" spans="1:3" ht="30" customHeight="1" x14ac:dyDescent="0.3">
      <c r="A1" s="63" t="s">
        <v>92</v>
      </c>
      <c r="B1" s="47"/>
      <c r="C1" s="47"/>
    </row>
    <row r="2" spans="1:3" x14ac:dyDescent="0.3">
      <c r="A2" s="32" t="s">
        <v>93</v>
      </c>
      <c r="B2" s="32" t="s">
        <v>94</v>
      </c>
      <c r="C2" s="32" t="s">
        <v>95</v>
      </c>
    </row>
    <row r="3" spans="1:3" ht="22.05" customHeight="1" x14ac:dyDescent="0.3">
      <c r="A3" s="64" t="s">
        <v>96</v>
      </c>
      <c r="B3" s="47"/>
      <c r="C3" s="47"/>
    </row>
    <row r="4" spans="1:3" ht="22.05" customHeight="1" x14ac:dyDescent="0.3">
      <c r="A4" s="33" t="s">
        <v>75</v>
      </c>
      <c r="B4" s="34" t="s">
        <v>180</v>
      </c>
      <c r="C4" s="35" t="s">
        <v>97</v>
      </c>
    </row>
    <row r="5" spans="1:3" ht="22.05" customHeight="1" x14ac:dyDescent="0.3">
      <c r="A5" s="33" t="s">
        <v>78</v>
      </c>
      <c r="B5" s="34" t="s">
        <v>181</v>
      </c>
      <c r="C5" s="35" t="s">
        <v>98</v>
      </c>
    </row>
    <row r="6" spans="1:3" ht="22.05" customHeight="1" x14ac:dyDescent="0.3">
      <c r="A6" s="33" t="s">
        <v>82</v>
      </c>
      <c r="B6" s="34" t="s">
        <v>182</v>
      </c>
      <c r="C6" s="35" t="s">
        <v>99</v>
      </c>
    </row>
    <row r="7" spans="1:3" ht="22.05" customHeight="1" x14ac:dyDescent="0.3">
      <c r="A7" s="33" t="s">
        <v>90</v>
      </c>
      <c r="B7" s="34" t="s">
        <v>183</v>
      </c>
      <c r="C7" s="35" t="s">
        <v>100</v>
      </c>
    </row>
    <row r="8" spans="1:3" ht="22.05" customHeight="1" x14ac:dyDescent="0.3">
      <c r="A8" s="33" t="s">
        <v>101</v>
      </c>
      <c r="B8" s="34" t="s">
        <v>184</v>
      </c>
      <c r="C8" s="35" t="s">
        <v>102</v>
      </c>
    </row>
    <row r="9" spans="1:3" ht="22.05" customHeight="1" x14ac:dyDescent="0.3">
      <c r="A9" s="64" t="s">
        <v>103</v>
      </c>
      <c r="B9" s="47"/>
      <c r="C9" s="47"/>
    </row>
    <row r="10" spans="1:3" ht="22.05" customHeight="1" x14ac:dyDescent="0.3">
      <c r="A10" s="33" t="s">
        <v>58</v>
      </c>
      <c r="B10" s="67" t="s">
        <v>185</v>
      </c>
      <c r="C10" s="35" t="s">
        <v>104</v>
      </c>
    </row>
    <row r="11" spans="1:3" ht="22.05" customHeight="1" x14ac:dyDescent="0.3">
      <c r="A11" s="33" t="s">
        <v>105</v>
      </c>
      <c r="B11" s="67" t="s">
        <v>186</v>
      </c>
      <c r="C11" s="35" t="s">
        <v>106</v>
      </c>
    </row>
    <row r="12" spans="1:3" ht="22.05" customHeight="1" x14ac:dyDescent="0.3">
      <c r="A12" s="33" t="s">
        <v>107</v>
      </c>
      <c r="B12" s="67" t="s">
        <v>187</v>
      </c>
      <c r="C12" s="35" t="s">
        <v>108</v>
      </c>
    </row>
    <row r="13" spans="1:3" ht="22.05" customHeight="1" x14ac:dyDescent="0.3">
      <c r="A13" s="64" t="s">
        <v>109</v>
      </c>
      <c r="B13" s="47"/>
      <c r="C13" s="47"/>
    </row>
    <row r="14" spans="1:3" ht="22.05" customHeight="1" x14ac:dyDescent="0.3">
      <c r="A14" s="33" t="s">
        <v>110</v>
      </c>
      <c r="B14" s="34" t="s">
        <v>111</v>
      </c>
      <c r="C14" s="35" t="s">
        <v>112</v>
      </c>
    </row>
    <row r="15" spans="1:3" ht="22.05" customHeight="1" x14ac:dyDescent="0.3">
      <c r="A15" s="33" t="s">
        <v>113</v>
      </c>
      <c r="B15" s="34" t="s">
        <v>114</v>
      </c>
      <c r="C15" s="35" t="s">
        <v>115</v>
      </c>
    </row>
    <row r="16" spans="1:3" ht="22.05" customHeight="1" x14ac:dyDescent="0.3">
      <c r="A16" s="33" t="s">
        <v>116</v>
      </c>
      <c r="B16" s="34" t="s">
        <v>117</v>
      </c>
      <c r="C16" s="35" t="s">
        <v>118</v>
      </c>
    </row>
    <row r="17" spans="1:3" ht="22.05" customHeight="1" x14ac:dyDescent="0.3">
      <c r="A17" s="33" t="s">
        <v>119</v>
      </c>
      <c r="B17" s="34" t="s">
        <v>120</v>
      </c>
      <c r="C17" s="35"/>
    </row>
  </sheetData>
  <mergeCells count="4">
    <mergeCell ref="A1:C1"/>
    <mergeCell ref="A9:C9"/>
    <mergeCell ref="A13:C13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showGridLines="0" topLeftCell="A28" workbookViewId="0">
      <selection sqref="A1:C1"/>
    </sheetView>
  </sheetViews>
  <sheetFormatPr defaultRowHeight="14.4" x14ac:dyDescent="0.3"/>
  <cols>
    <col min="1" max="1" width="32" customWidth="1"/>
    <col min="2" max="2" width="14" customWidth="1"/>
    <col min="3" max="3" width="52" customWidth="1"/>
  </cols>
  <sheetData>
    <row r="1" spans="1:3" ht="28.05" customHeight="1" x14ac:dyDescent="0.3">
      <c r="A1" s="63" t="s">
        <v>121</v>
      </c>
      <c r="B1" s="47"/>
      <c r="C1" s="47"/>
    </row>
    <row r="2" spans="1:3" x14ac:dyDescent="0.3">
      <c r="A2" s="1" t="s">
        <v>122</v>
      </c>
      <c r="B2" s="1" t="s">
        <v>123</v>
      </c>
      <c r="C2" s="1" t="s">
        <v>124</v>
      </c>
    </row>
    <row r="3" spans="1:3" ht="22.05" customHeight="1" x14ac:dyDescent="0.3">
      <c r="A3" s="36" t="s">
        <v>125</v>
      </c>
      <c r="B3" s="37" t="s">
        <v>126</v>
      </c>
      <c r="C3" s="34" t="s">
        <v>127</v>
      </c>
    </row>
    <row r="4" spans="1:3" ht="22.05" customHeight="1" x14ac:dyDescent="0.3">
      <c r="A4" s="33" t="s">
        <v>128</v>
      </c>
      <c r="B4" s="38" t="s">
        <v>126</v>
      </c>
      <c r="C4" s="39" t="s">
        <v>129</v>
      </c>
    </row>
    <row r="5" spans="1:3" ht="22.05" customHeight="1" x14ac:dyDescent="0.3">
      <c r="A5" s="36" t="s">
        <v>130</v>
      </c>
      <c r="B5" s="37" t="s">
        <v>126</v>
      </c>
      <c r="C5" s="34" t="s">
        <v>131</v>
      </c>
    </row>
    <row r="6" spans="1:3" ht="22.05" customHeight="1" x14ac:dyDescent="0.3">
      <c r="A6" s="33" t="s">
        <v>132</v>
      </c>
      <c r="B6" s="38" t="s">
        <v>133</v>
      </c>
      <c r="C6" s="39" t="s">
        <v>134</v>
      </c>
    </row>
    <row r="7" spans="1:3" ht="22.05" customHeight="1" x14ac:dyDescent="0.3">
      <c r="A7" s="36" t="s">
        <v>135</v>
      </c>
      <c r="B7" s="37" t="s">
        <v>136</v>
      </c>
      <c r="C7" s="34" t="s">
        <v>137</v>
      </c>
    </row>
    <row r="8" spans="1:3" ht="22.05" customHeight="1" x14ac:dyDescent="0.3">
      <c r="A8" s="33" t="s">
        <v>138</v>
      </c>
      <c r="B8" s="38" t="s">
        <v>136</v>
      </c>
      <c r="C8" s="39" t="s">
        <v>139</v>
      </c>
    </row>
    <row r="9" spans="1:3" ht="22.05" customHeight="1" x14ac:dyDescent="0.3">
      <c r="A9" s="36" t="s">
        <v>140</v>
      </c>
      <c r="B9" s="37" t="s">
        <v>141</v>
      </c>
      <c r="C9" s="34" t="s">
        <v>142</v>
      </c>
    </row>
    <row r="10" spans="1:3" ht="22.05" customHeight="1" x14ac:dyDescent="0.3">
      <c r="A10" s="33" t="s">
        <v>143</v>
      </c>
      <c r="B10" s="38" t="s">
        <v>144</v>
      </c>
      <c r="C10" s="39" t="s">
        <v>145</v>
      </c>
    </row>
    <row r="11" spans="1:3" ht="22.05" customHeight="1" x14ac:dyDescent="0.3">
      <c r="A11" s="36" t="s">
        <v>146</v>
      </c>
      <c r="B11" s="37" t="s">
        <v>141</v>
      </c>
      <c r="C11" s="34" t="s">
        <v>147</v>
      </c>
    </row>
    <row r="13" spans="1:3" ht="36" customHeight="1" x14ac:dyDescent="0.3">
      <c r="A13" s="66" t="s">
        <v>148</v>
      </c>
      <c r="B13" s="47"/>
      <c r="C13" s="47"/>
    </row>
    <row r="15" spans="1:3" ht="22.05" customHeight="1" x14ac:dyDescent="0.3">
      <c r="A15" s="65" t="s">
        <v>149</v>
      </c>
      <c r="B15" s="47"/>
      <c r="C15" s="47"/>
    </row>
    <row r="16" spans="1:3" x14ac:dyDescent="0.3">
      <c r="A16" s="1" t="s">
        <v>150</v>
      </c>
      <c r="B16" s="1" t="s">
        <v>151</v>
      </c>
      <c r="C16" s="1" t="s">
        <v>152</v>
      </c>
    </row>
    <row r="17" spans="1:3" ht="18" customHeight="1" x14ac:dyDescent="0.3">
      <c r="A17" s="36" t="s">
        <v>13</v>
      </c>
      <c r="B17" s="40" t="s">
        <v>153</v>
      </c>
      <c r="C17" s="41" t="s">
        <v>154</v>
      </c>
    </row>
    <row r="18" spans="1:3" ht="18" customHeight="1" x14ac:dyDescent="0.3">
      <c r="A18" s="33" t="s">
        <v>16</v>
      </c>
      <c r="B18" s="42" t="s">
        <v>155</v>
      </c>
      <c r="C18" s="43" t="s">
        <v>156</v>
      </c>
    </row>
    <row r="19" spans="1:3" ht="18" customHeight="1" x14ac:dyDescent="0.3">
      <c r="A19" s="36" t="s">
        <v>19</v>
      </c>
      <c r="B19" s="40" t="s">
        <v>153</v>
      </c>
      <c r="C19" s="41" t="s">
        <v>157</v>
      </c>
    </row>
    <row r="20" spans="1:3" ht="18" customHeight="1" x14ac:dyDescent="0.3">
      <c r="A20" s="33" t="s">
        <v>22</v>
      </c>
      <c r="B20" s="42" t="s">
        <v>155</v>
      </c>
      <c r="C20" s="43" t="s">
        <v>158</v>
      </c>
    </row>
    <row r="21" spans="1:3" ht="18" customHeight="1" x14ac:dyDescent="0.3">
      <c r="A21" s="36" t="s">
        <v>24</v>
      </c>
      <c r="B21" s="40" t="s">
        <v>153</v>
      </c>
      <c r="C21" s="41" t="s">
        <v>159</v>
      </c>
    </row>
    <row r="22" spans="1:3" ht="18" customHeight="1" x14ac:dyDescent="0.3">
      <c r="A22" s="33" t="s">
        <v>27</v>
      </c>
      <c r="B22" s="42" t="s">
        <v>155</v>
      </c>
      <c r="C22" s="43" t="s">
        <v>160</v>
      </c>
    </row>
    <row r="23" spans="1:3" ht="18" customHeight="1" x14ac:dyDescent="0.3">
      <c r="A23" s="36" t="s">
        <v>29</v>
      </c>
      <c r="B23" s="40" t="s">
        <v>153</v>
      </c>
      <c r="C23" s="41" t="s">
        <v>161</v>
      </c>
    </row>
    <row r="24" spans="1:3" ht="18" customHeight="1" x14ac:dyDescent="0.3">
      <c r="A24" s="33" t="s">
        <v>31</v>
      </c>
      <c r="B24" s="40" t="s">
        <v>153</v>
      </c>
      <c r="C24" s="43" t="s">
        <v>162</v>
      </c>
    </row>
    <row r="25" spans="1:3" ht="18" customHeight="1" x14ac:dyDescent="0.3">
      <c r="A25" s="36" t="s">
        <v>33</v>
      </c>
      <c r="B25" s="42" t="s">
        <v>155</v>
      </c>
      <c r="C25" s="41" t="s">
        <v>158</v>
      </c>
    </row>
    <row r="26" spans="1:3" ht="18" customHeight="1" x14ac:dyDescent="0.3">
      <c r="A26" s="33" t="s">
        <v>35</v>
      </c>
      <c r="B26" s="40" t="s">
        <v>153</v>
      </c>
      <c r="C26" s="43" t="s">
        <v>163</v>
      </c>
    </row>
    <row r="27" spans="1:3" ht="18" customHeight="1" x14ac:dyDescent="0.3">
      <c r="A27" s="36" t="s">
        <v>37</v>
      </c>
      <c r="B27" s="42" t="s">
        <v>155</v>
      </c>
      <c r="C27" s="41" t="s">
        <v>164</v>
      </c>
    </row>
    <row r="28" spans="1:3" ht="18" customHeight="1" x14ac:dyDescent="0.3">
      <c r="A28" s="33" t="s">
        <v>39</v>
      </c>
      <c r="B28" s="40" t="s">
        <v>153</v>
      </c>
      <c r="C28" s="43" t="s">
        <v>165</v>
      </c>
    </row>
    <row r="29" spans="1:3" ht="18" customHeight="1" x14ac:dyDescent="0.3">
      <c r="A29" s="36" t="s">
        <v>41</v>
      </c>
      <c r="B29" s="42" t="s">
        <v>155</v>
      </c>
      <c r="C29" s="41" t="s">
        <v>166</v>
      </c>
    </row>
    <row r="30" spans="1:3" ht="18" customHeight="1" x14ac:dyDescent="0.3">
      <c r="A30" s="33" t="s">
        <v>43</v>
      </c>
      <c r="B30" s="40" t="s">
        <v>153</v>
      </c>
      <c r="C30" s="43" t="s">
        <v>167</v>
      </c>
    </row>
    <row r="31" spans="1:3" ht="18" customHeight="1" x14ac:dyDescent="0.3">
      <c r="A31" s="36" t="s">
        <v>45</v>
      </c>
      <c r="B31" s="40" t="s">
        <v>153</v>
      </c>
      <c r="C31" s="41" t="s">
        <v>168</v>
      </c>
    </row>
    <row r="32" spans="1:3" ht="18" customHeight="1" x14ac:dyDescent="0.3">
      <c r="A32" s="33" t="s">
        <v>47</v>
      </c>
      <c r="B32" s="42" t="s">
        <v>155</v>
      </c>
      <c r="C32" s="43" t="s">
        <v>169</v>
      </c>
    </row>
    <row r="33" spans="1:3" ht="18" customHeight="1" x14ac:dyDescent="0.3">
      <c r="A33" s="36" t="s">
        <v>49</v>
      </c>
      <c r="B33" s="40" t="s">
        <v>153</v>
      </c>
      <c r="C33" s="41" t="s">
        <v>170</v>
      </c>
    </row>
    <row r="34" spans="1:3" ht="18" customHeight="1" x14ac:dyDescent="0.3">
      <c r="A34" s="33" t="s">
        <v>51</v>
      </c>
      <c r="B34" s="42" t="s">
        <v>155</v>
      </c>
      <c r="C34" s="43" t="s">
        <v>158</v>
      </c>
    </row>
    <row r="35" spans="1:3" ht="18" customHeight="1" x14ac:dyDescent="0.3">
      <c r="A35" s="36" t="s">
        <v>53</v>
      </c>
      <c r="B35" s="40" t="s">
        <v>153</v>
      </c>
      <c r="C35" s="41" t="s">
        <v>171</v>
      </c>
    </row>
    <row r="36" spans="1:3" ht="18" customHeight="1" x14ac:dyDescent="0.3">
      <c r="A36" s="33" t="s">
        <v>55</v>
      </c>
      <c r="B36" s="42" t="s">
        <v>155</v>
      </c>
      <c r="C36" s="43" t="s">
        <v>172</v>
      </c>
    </row>
    <row r="38" spans="1:3" ht="22.05" customHeight="1" x14ac:dyDescent="0.3">
      <c r="A38" s="65" t="s">
        <v>173</v>
      </c>
      <c r="B38" s="47"/>
      <c r="C38" s="47"/>
    </row>
    <row r="39" spans="1:3" x14ac:dyDescent="0.3">
      <c r="A39" s="1" t="s">
        <v>4</v>
      </c>
      <c r="B39" s="1" t="s">
        <v>67</v>
      </c>
      <c r="C39" s="1" t="s">
        <v>174</v>
      </c>
    </row>
    <row r="40" spans="1:3" ht="18" customHeight="1" x14ac:dyDescent="0.3">
      <c r="A40" s="36" t="s">
        <v>14</v>
      </c>
      <c r="B40" s="44" t="s">
        <v>175</v>
      </c>
      <c r="C40" s="41" t="s">
        <v>176</v>
      </c>
    </row>
    <row r="41" spans="1:3" ht="18" customHeight="1" x14ac:dyDescent="0.3">
      <c r="A41" s="33" t="s">
        <v>17</v>
      </c>
      <c r="B41" s="45" t="s">
        <v>175</v>
      </c>
      <c r="C41" s="43" t="s">
        <v>177</v>
      </c>
    </row>
    <row r="42" spans="1:3" ht="18" customHeight="1" x14ac:dyDescent="0.3">
      <c r="A42" s="36" t="s">
        <v>25</v>
      </c>
      <c r="B42" s="44" t="s">
        <v>175</v>
      </c>
      <c r="C42" s="41" t="s">
        <v>178</v>
      </c>
    </row>
    <row r="43" spans="1:3" ht="18" customHeight="1" x14ac:dyDescent="0.3">
      <c r="A43" s="33" t="s">
        <v>20</v>
      </c>
      <c r="B43" s="45" t="s">
        <v>175</v>
      </c>
      <c r="C43" s="43" t="s">
        <v>179</v>
      </c>
    </row>
  </sheetData>
  <mergeCells count="4">
    <mergeCell ref="A1:C1"/>
    <mergeCell ref="A38:C38"/>
    <mergeCell ref="A13:C1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</vt:lpstr>
      <vt:lpstr>Summary Table</vt:lpstr>
      <vt:lpstr>Concept Notes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2026-04-01T06:05:27Z</dcterms:created>
  <dcterms:modified xsi:type="dcterms:W3CDTF">2026-04-01T07:10:10Z</dcterms:modified>
</cp:coreProperties>
</file>