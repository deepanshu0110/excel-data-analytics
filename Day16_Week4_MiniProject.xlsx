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530c6ebe1e7ac33e/Desktop/Excel/"/>
    </mc:Choice>
  </mc:AlternateContent>
  <xr:revisionPtr revIDLastSave="4" documentId="13_ncr:1_{68069DDF-20BD-4686-8E92-51883E5B78AF}" xr6:coauthVersionLast="47" xr6:coauthVersionMax="47" xr10:uidLastSave="{904CFC44-952C-463A-A778-ACECB84E6E0F}"/>
  <bookViews>
    <workbookView xWindow="-108" yWindow="-108" windowWidth="23256" windowHeight="12456" tabRatio="500" firstSheet="1" activeTab="2" xr2:uid="{00000000-000D-0000-FFFF-FFFF00000000}"/>
  </bookViews>
  <sheets>
    <sheet name="Sheet1" sheetId="6" r:id="rId1"/>
    <sheet name="Raw Data" sheetId="1" r:id="rId2"/>
    <sheet name="Dashboard (Your Work)" sheetId="2" r:id="rId3"/>
    <sheet name="Monthly Summary" sheetId="3" r:id="rId4"/>
    <sheet name="Concept Notes" sheetId="4" r:id="rId5"/>
    <sheet name="Scoring Guide" sheetId="5" r:id="rId6"/>
  </sheets>
  <calcPr calcId="191029" iterateDelta="1E-4"/>
  <pivotCaches>
    <pivotCache cacheId="0" r:id="rId7"/>
  </pivotCaches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1" i="3" l="1"/>
  <c r="F21" i="3" s="1"/>
  <c r="D21" i="3"/>
  <c r="G21" i="3" s="1"/>
  <c r="H21" i="3" s="1"/>
  <c r="E20" i="3"/>
  <c r="F20" i="3" s="1"/>
  <c r="D20" i="3"/>
  <c r="G20" i="3" s="1"/>
  <c r="H20" i="3" s="1"/>
  <c r="E19" i="3"/>
  <c r="F19" i="3" s="1"/>
  <c r="D19" i="3"/>
  <c r="G19" i="3" s="1"/>
  <c r="H19" i="3" s="1"/>
  <c r="E18" i="3"/>
  <c r="F18" i="3" s="1"/>
  <c r="D18" i="3"/>
  <c r="G18" i="3" s="1"/>
  <c r="H18" i="3" s="1"/>
  <c r="G17" i="3"/>
  <c r="H17" i="3" s="1"/>
  <c r="E17" i="3"/>
  <c r="F17" i="3" s="1"/>
  <c r="D17" i="3"/>
  <c r="E16" i="3"/>
  <c r="F16" i="3" s="1"/>
  <c r="D16" i="3"/>
  <c r="G16" i="3" s="1"/>
  <c r="H16" i="3" s="1"/>
  <c r="E15" i="3"/>
  <c r="F15" i="3" s="1"/>
  <c r="D15" i="3"/>
  <c r="G15" i="3" s="1"/>
  <c r="H15" i="3" s="1"/>
  <c r="E14" i="3"/>
  <c r="F14" i="3" s="1"/>
  <c r="D14" i="3"/>
  <c r="G14" i="3" s="1"/>
  <c r="H14" i="3" s="1"/>
  <c r="E13" i="3"/>
  <c r="F13" i="3" s="1"/>
  <c r="D13" i="3"/>
  <c r="G13" i="3" s="1"/>
  <c r="H13" i="3" s="1"/>
  <c r="G12" i="3"/>
  <c r="H12" i="3" s="1"/>
  <c r="F12" i="3"/>
  <c r="E12" i="3"/>
  <c r="D12" i="3"/>
  <c r="E11" i="3"/>
  <c r="F11" i="3" s="1"/>
  <c r="D11" i="3"/>
  <c r="G11" i="3" s="1"/>
  <c r="H11" i="3" s="1"/>
  <c r="E10" i="3"/>
  <c r="F10" i="3" s="1"/>
  <c r="D10" i="3"/>
  <c r="G10" i="3" s="1"/>
  <c r="H10" i="3" s="1"/>
  <c r="E9" i="3"/>
  <c r="F9" i="3" s="1"/>
  <c r="D9" i="3"/>
  <c r="G9" i="3" s="1"/>
  <c r="H9" i="3" s="1"/>
  <c r="E8" i="3"/>
  <c r="F8" i="3" s="1"/>
  <c r="D8" i="3"/>
  <c r="G8" i="3" s="1"/>
  <c r="H8" i="3" s="1"/>
  <c r="G7" i="3"/>
  <c r="H7" i="3" s="1"/>
  <c r="F7" i="3"/>
  <c r="E7" i="3"/>
  <c r="D7" i="3"/>
  <c r="E6" i="3"/>
  <c r="F6" i="3" s="1"/>
  <c r="D6" i="3"/>
  <c r="G6" i="3" s="1"/>
  <c r="H6" i="3" s="1"/>
  <c r="E5" i="3"/>
  <c r="F5" i="3" s="1"/>
  <c r="D5" i="3"/>
  <c r="G5" i="3" s="1"/>
  <c r="H5" i="3" s="1"/>
  <c r="E4" i="3"/>
  <c r="D4" i="3"/>
  <c r="D22" i="3" s="1"/>
  <c r="E38" i="2"/>
  <c r="D38" i="2"/>
  <c r="E29" i="2"/>
  <c r="D29" i="2"/>
  <c r="E37" i="2"/>
  <c r="F37" i="2" s="1"/>
  <c r="D37" i="2"/>
  <c r="E32" i="2"/>
  <c r="D32" i="2"/>
  <c r="E36" i="2"/>
  <c r="D36" i="2"/>
  <c r="E30" i="2"/>
  <c r="D30" i="2"/>
  <c r="E34" i="2"/>
  <c r="D34" i="2"/>
  <c r="E33" i="2"/>
  <c r="D33" i="2"/>
  <c r="E35" i="2"/>
  <c r="D35" i="2"/>
  <c r="E31" i="2"/>
  <c r="D31" i="2"/>
  <c r="F20" i="2"/>
  <c r="E20" i="2"/>
  <c r="C20" i="2"/>
  <c r="F23" i="2"/>
  <c r="E23" i="2"/>
  <c r="C23" i="2"/>
  <c r="F24" i="2"/>
  <c r="E24" i="2"/>
  <c r="C24" i="2"/>
  <c r="F22" i="2"/>
  <c r="E22" i="2"/>
  <c r="C22" i="2"/>
  <c r="G22" i="2" s="1"/>
  <c r="F21" i="2"/>
  <c r="E21" i="2"/>
  <c r="C21" i="2"/>
  <c r="F19" i="2"/>
  <c r="F25" i="2" s="1"/>
  <c r="E19" i="2"/>
  <c r="C19" i="2"/>
  <c r="G12" i="2"/>
  <c r="F12" i="2"/>
  <c r="E12" i="2"/>
  <c r="C12" i="2"/>
  <c r="G14" i="2"/>
  <c r="F14" i="2"/>
  <c r="E14" i="2"/>
  <c r="C14" i="2"/>
  <c r="G10" i="2"/>
  <c r="F10" i="2"/>
  <c r="E10" i="2"/>
  <c r="C10" i="2"/>
  <c r="G13" i="2"/>
  <c r="F13" i="2"/>
  <c r="E13" i="2"/>
  <c r="C13" i="2"/>
  <c r="G11" i="2"/>
  <c r="F11" i="2"/>
  <c r="F15" i="2" s="1"/>
  <c r="E11" i="2"/>
  <c r="C11" i="2"/>
  <c r="J5" i="2"/>
  <c r="H5" i="2"/>
  <c r="F5" i="2"/>
  <c r="D5" i="2"/>
  <c r="B5" i="2"/>
  <c r="F31" i="2" l="1"/>
  <c r="E25" i="2"/>
  <c r="D22" i="2"/>
  <c r="G15" i="2"/>
  <c r="E15" i="2"/>
  <c r="F4" i="3"/>
  <c r="F22" i="3" s="1"/>
  <c r="E22" i="3"/>
  <c r="F38" i="2"/>
  <c r="G38" i="2"/>
  <c r="G37" i="2"/>
  <c r="F29" i="2"/>
  <c r="G29" i="2"/>
  <c r="G31" i="2"/>
  <c r="G32" i="2"/>
  <c r="F32" i="2"/>
  <c r="G36" i="2"/>
  <c r="F36" i="2"/>
  <c r="G30" i="2"/>
  <c r="F30" i="2"/>
  <c r="G34" i="2"/>
  <c r="F34" i="2"/>
  <c r="G33" i="2"/>
  <c r="F33" i="2"/>
  <c r="F35" i="2"/>
  <c r="G35" i="2"/>
  <c r="G20" i="2"/>
  <c r="D20" i="2"/>
  <c r="G23" i="2"/>
  <c r="D23" i="2"/>
  <c r="G24" i="2"/>
  <c r="D24" i="2"/>
  <c r="D21" i="2"/>
  <c r="G21" i="2"/>
  <c r="C25" i="2"/>
  <c r="D19" i="2"/>
  <c r="G19" i="2"/>
  <c r="H12" i="2"/>
  <c r="D12" i="2"/>
  <c r="H14" i="2"/>
  <c r="D14" i="2"/>
  <c r="D10" i="2"/>
  <c r="H10" i="2"/>
  <c r="D13" i="2"/>
  <c r="H13" i="2"/>
  <c r="D11" i="2"/>
  <c r="H11" i="2"/>
  <c r="C15" i="2"/>
  <c r="D15" i="2" l="1"/>
  <c r="D25" i="2"/>
</calcChain>
</file>

<file path=xl/sharedStrings.xml><?xml version="1.0" encoding="utf-8"?>
<sst xmlns="http://schemas.openxmlformats.org/spreadsheetml/2006/main" count="1033" uniqueCount="394">
  <si>
    <t>DAY 16 — WEEK 4 MINI-PROJECT  |  Raw Data (DO NOT MODIFY)</t>
  </si>
  <si>
    <t>150 transactions · Jan 2024 – Jun 2025 · 5 Regions · 6 Categories · Source for ALL formulas and pivots</t>
  </si>
  <si>
    <t>Order ID</t>
  </si>
  <si>
    <t>Order Date</t>
  </si>
  <si>
    <t>Region</t>
  </si>
  <si>
    <t>Category</t>
  </si>
  <si>
    <t>Product</t>
  </si>
  <si>
    <t>Revenue (₹)</t>
  </si>
  <si>
    <t>Cost (₹)</t>
  </si>
  <si>
    <t>Units</t>
  </si>
  <si>
    <t>Margin %</t>
  </si>
  <si>
    <t>Sales Rep</t>
  </si>
  <si>
    <t>ORD-001</t>
  </si>
  <si>
    <t>North</t>
  </si>
  <si>
    <t>Electronics</t>
  </si>
  <si>
    <t>Smart TV 55"</t>
  </si>
  <si>
    <t>Arjun Sharma</t>
  </si>
  <si>
    <t>ORD-002</t>
  </si>
  <si>
    <t>South</t>
  </si>
  <si>
    <t>Appliances</t>
  </si>
  <si>
    <t>Microwave</t>
  </si>
  <si>
    <t>Sneha Iyer</t>
  </si>
  <si>
    <t>ORD-003</t>
  </si>
  <si>
    <t>East</t>
  </si>
  <si>
    <t>Footwear</t>
  </si>
  <si>
    <t>Formal Leather</t>
  </si>
  <si>
    <t>Karan Singh</t>
  </si>
  <si>
    <t>ORD-004</t>
  </si>
  <si>
    <t>West</t>
  </si>
  <si>
    <t>Fitness</t>
  </si>
  <si>
    <t>Yoga Mat</t>
  </si>
  <si>
    <t>Meera Joshi</t>
  </si>
  <si>
    <t>ORD-005</t>
  </si>
  <si>
    <t>Central</t>
  </si>
  <si>
    <t>Nutrition</t>
  </si>
  <si>
    <t>Protein Powder</t>
  </si>
  <si>
    <t>Siddharth Rao</t>
  </si>
  <si>
    <t>ORD-006</t>
  </si>
  <si>
    <t>Furniture</t>
  </si>
  <si>
    <t>Office Chair</t>
  </si>
  <si>
    <t>Priya Nair</t>
  </si>
  <si>
    <t>ORD-007</t>
  </si>
  <si>
    <t>Rohit Verma</t>
  </si>
  <si>
    <t>ORD-008</t>
  </si>
  <si>
    <t>Anjali Das</t>
  </si>
  <si>
    <t>ORD-009</t>
  </si>
  <si>
    <t>Vikram Patel</t>
  </si>
  <si>
    <t>ORD-010</t>
  </si>
  <si>
    <t>Deepika Menon</t>
  </si>
  <si>
    <t>ORD-011</t>
  </si>
  <si>
    <t>ORD-012</t>
  </si>
  <si>
    <t>ORD-013</t>
  </si>
  <si>
    <t>ORD-014</t>
  </si>
  <si>
    <t>ORD-015</t>
  </si>
  <si>
    <t>ORD-016</t>
  </si>
  <si>
    <t>ORD-017</t>
  </si>
  <si>
    <t>ORD-018</t>
  </si>
  <si>
    <t>ORD-019</t>
  </si>
  <si>
    <t>ORD-020</t>
  </si>
  <si>
    <t>ORD-021</t>
  </si>
  <si>
    <t>ORD-022</t>
  </si>
  <si>
    <t>ORD-023</t>
  </si>
  <si>
    <t>ORD-024</t>
  </si>
  <si>
    <t>ORD-025</t>
  </si>
  <si>
    <t>ORD-026</t>
  </si>
  <si>
    <t>ORD-027</t>
  </si>
  <si>
    <t>ORD-028</t>
  </si>
  <si>
    <t>ORD-029</t>
  </si>
  <si>
    <t>ORD-030</t>
  </si>
  <si>
    <t>ORD-031</t>
  </si>
  <si>
    <t>ORD-032</t>
  </si>
  <si>
    <t>ORD-033</t>
  </si>
  <si>
    <t>ORD-034</t>
  </si>
  <si>
    <t>ORD-035</t>
  </si>
  <si>
    <t>ORD-036</t>
  </si>
  <si>
    <t>ORD-037</t>
  </si>
  <si>
    <t>ORD-038</t>
  </si>
  <si>
    <t>ORD-039</t>
  </si>
  <si>
    <t>ORD-040</t>
  </si>
  <si>
    <t>ORD-041</t>
  </si>
  <si>
    <t>ORD-042</t>
  </si>
  <si>
    <t>ORD-043</t>
  </si>
  <si>
    <t>ORD-044</t>
  </si>
  <si>
    <t>ORD-045</t>
  </si>
  <si>
    <t>ORD-046</t>
  </si>
  <si>
    <t>ORD-047</t>
  </si>
  <si>
    <t>ORD-048</t>
  </si>
  <si>
    <t>ORD-049</t>
  </si>
  <si>
    <t>ORD-050</t>
  </si>
  <si>
    <t>ORD-051</t>
  </si>
  <si>
    <t>ORD-052</t>
  </si>
  <si>
    <t>ORD-053</t>
  </si>
  <si>
    <t>ORD-054</t>
  </si>
  <si>
    <t>ORD-055</t>
  </si>
  <si>
    <t>ORD-056</t>
  </si>
  <si>
    <t>ORD-057</t>
  </si>
  <si>
    <t>ORD-058</t>
  </si>
  <si>
    <t>ORD-059</t>
  </si>
  <si>
    <t>ORD-060</t>
  </si>
  <si>
    <t>ORD-061</t>
  </si>
  <si>
    <t>ORD-062</t>
  </si>
  <si>
    <t>ORD-063</t>
  </si>
  <si>
    <t>ORD-064</t>
  </si>
  <si>
    <t>ORD-065</t>
  </si>
  <si>
    <t>ORD-066</t>
  </si>
  <si>
    <t>ORD-067</t>
  </si>
  <si>
    <t>ORD-068</t>
  </si>
  <si>
    <t>ORD-069</t>
  </si>
  <si>
    <t>ORD-070</t>
  </si>
  <si>
    <t>ORD-071</t>
  </si>
  <si>
    <t>ORD-072</t>
  </si>
  <si>
    <t>ORD-073</t>
  </si>
  <si>
    <t>ORD-074</t>
  </si>
  <si>
    <t>ORD-075</t>
  </si>
  <si>
    <t>ORD-076</t>
  </si>
  <si>
    <t>ORD-077</t>
  </si>
  <si>
    <t>ORD-078</t>
  </si>
  <si>
    <t>ORD-079</t>
  </si>
  <si>
    <t>ORD-080</t>
  </si>
  <si>
    <t>ORD-081</t>
  </si>
  <si>
    <t>ORD-082</t>
  </si>
  <si>
    <t>ORD-083</t>
  </si>
  <si>
    <t>ORD-084</t>
  </si>
  <si>
    <t>ORD-085</t>
  </si>
  <si>
    <t>ORD-086</t>
  </si>
  <si>
    <t>ORD-087</t>
  </si>
  <si>
    <t>ORD-088</t>
  </si>
  <si>
    <t>ORD-089</t>
  </si>
  <si>
    <t>ORD-090</t>
  </si>
  <si>
    <t>ORD-091</t>
  </si>
  <si>
    <t>ORD-092</t>
  </si>
  <si>
    <t>ORD-093</t>
  </si>
  <si>
    <t>ORD-094</t>
  </si>
  <si>
    <t>ORD-095</t>
  </si>
  <si>
    <t>ORD-096</t>
  </si>
  <si>
    <t>ORD-097</t>
  </si>
  <si>
    <t>ORD-098</t>
  </si>
  <si>
    <t>ORD-099</t>
  </si>
  <si>
    <t>ORD-100</t>
  </si>
  <si>
    <t>ORD-101</t>
  </si>
  <si>
    <t>ORD-102</t>
  </si>
  <si>
    <t>ORD-103</t>
  </si>
  <si>
    <t>ORD-104</t>
  </si>
  <si>
    <t>ORD-105</t>
  </si>
  <si>
    <t>ORD-106</t>
  </si>
  <si>
    <t>ORD-107</t>
  </si>
  <si>
    <t>ORD-108</t>
  </si>
  <si>
    <t>ORD-109</t>
  </si>
  <si>
    <t>ORD-110</t>
  </si>
  <si>
    <t>ORD-111</t>
  </si>
  <si>
    <t>ORD-112</t>
  </si>
  <si>
    <t>ORD-113</t>
  </si>
  <si>
    <t>ORD-114</t>
  </si>
  <si>
    <t>ORD-115</t>
  </si>
  <si>
    <t>ORD-116</t>
  </si>
  <si>
    <t>ORD-117</t>
  </si>
  <si>
    <t>ORD-118</t>
  </si>
  <si>
    <t>ORD-119</t>
  </si>
  <si>
    <t>ORD-120</t>
  </si>
  <si>
    <t>ORD-121</t>
  </si>
  <si>
    <t>ORD-122</t>
  </si>
  <si>
    <t>ORD-123</t>
  </si>
  <si>
    <t>ORD-124</t>
  </si>
  <si>
    <t>ORD-125</t>
  </si>
  <si>
    <t>ORD-126</t>
  </si>
  <si>
    <t>ORD-127</t>
  </si>
  <si>
    <t>ORD-128</t>
  </si>
  <si>
    <t>ORD-129</t>
  </si>
  <si>
    <t>ORD-130</t>
  </si>
  <si>
    <t>ORD-131</t>
  </si>
  <si>
    <t>ORD-132</t>
  </si>
  <si>
    <t>ORD-133</t>
  </si>
  <si>
    <t>ORD-134</t>
  </si>
  <si>
    <t>ORD-135</t>
  </si>
  <si>
    <t>ORD-136</t>
  </si>
  <si>
    <t>ORD-137</t>
  </si>
  <si>
    <t>ORD-138</t>
  </si>
  <si>
    <t>ORD-139</t>
  </si>
  <si>
    <t>ORD-140</t>
  </si>
  <si>
    <t>ORD-141</t>
  </si>
  <si>
    <t>ORD-142</t>
  </si>
  <si>
    <t>ORD-143</t>
  </si>
  <si>
    <t>ORD-144</t>
  </si>
  <si>
    <t>ORD-145</t>
  </si>
  <si>
    <t>ORD-146</t>
  </si>
  <si>
    <t>ORD-147</t>
  </si>
  <si>
    <t>ORD-148</t>
  </si>
  <si>
    <t>ORD-149</t>
  </si>
  <si>
    <t>ORD-150</t>
  </si>
  <si>
    <t>REGIONAL SALES PERFORMANCE DASHBOARD  |  Jan 2024 – Jun 2025</t>
  </si>
  <si>
    <t>Source: Raw Data sheet · All formulas must reference 'Raw Data'!B4:K153 · Do not hardcode values</t>
  </si>
  <si>
    <t xml:space="preserve">  SECTION 1 — KEY PERFORMANCE INDICATORS (Use SUMIF / COUNT / AVERAGE from Raw Data)</t>
  </si>
  <si>
    <t>Total Revenue (₹)</t>
  </si>
  <si>
    <t>Total Orders</t>
  </si>
  <si>
    <t>Avg Order Value (₹)</t>
  </si>
  <si>
    <t>Total Units Sold</t>
  </si>
  <si>
    <t>Avg Margin %</t>
  </si>
  <si>
    <t xml:space="preserve">  SECTION 2 — REVENUE SUMMARY BY REGION (SUMIF per region)</t>
  </si>
  <si>
    <t>% of Total</t>
  </si>
  <si>
    <t>Performance Tag</t>
  </si>
  <si>
    <t>GRAND TOTAL</t>
  </si>
  <si>
    <t>—</t>
  </si>
  <si>
    <t xml:space="preserve">  SECTION 3 — REVENUE SUMMARY BY CATEGORY (SUMIF per category + Conditional Formatting)</t>
  </si>
  <si>
    <t>Revenue Bar</t>
  </si>
  <si>
    <t xml:space="preserve">  SECTION 4 — SALES REP LEADERBOARD (SUMIF / COUNTIF / IFS — rank your team)</t>
  </si>
  <si>
    <t>Orders</t>
  </si>
  <si>
    <t>Performance Grade</t>
  </si>
  <si>
    <t xml:space="preserve">  SECTION 5 — CHART ZONE (Insert 2 charts below: Revenue by Region bar + Revenue Trend line)</t>
  </si>
  <si>
    <t>📊 CHART 1 — Revenue by Region (Clustered Bar)
Source: Section 2 → C10:C14 vs B10:B14
Insert → Chart → Clustered Bar
Title: 'Revenue by Region'
Add data labels. No 3D. No gridlines.</t>
  </si>
  <si>
    <t>📈 CHART 2 — Revenue Trend by Month (Line)
Source: Build a monthly summary table first (use SUMIFS with month)
Insert → Chart → Line
Title: 'Monthly Revenue Trend'
Add markers. Show trend direction.</t>
  </si>
  <si>
    <t xml:space="preserve">  SECTION 6 — EXECUTIVE SUMMARY (Write 5 business insights: Number + Reason + Action format)</t>
  </si>
  <si>
    <t>Insight 1</t>
  </si>
  <si>
    <t>Q1. Which region generates the highest revenue, and by what % does it lead the second-highest?
→ Number: [revenue figure + % lead] | Reason: [why it matters] | Action: [what the business should do]</t>
  </si>
  <si>
    <t>Insight 2</t>
  </si>
  <si>
    <t>Q2. Which category is the biggest revenue driver? What % of total revenue does it represent?
→ Number: [revenue + % share] | Reason: [risk or opportunity] | Action: [leverage or diversify]</t>
  </si>
  <si>
    <t>Insight 3</t>
  </si>
  <si>
    <t>Q3. Who is the top sales rep, and what is their revenue? What separates them from the team average?
→ Number: [rep name + revenue + vs. average] | Reason: [what this signals] | Action: [replicate or coach]</t>
  </si>
  <si>
    <t>Insight 4</t>
  </si>
  <si>
    <t>Q4. Which region+category combination is the highest-value cell in the 2D matrix? (You'll build this in your pivot)
→ Number: [specific ₹ figure] | Reason: [concentration risk or opportunity] | Action: [expand or protect]</t>
  </si>
  <si>
    <t>Insight 5</t>
  </si>
  <si>
    <t>Q5. One operational recommendation for the business based on the full dashboard.
→ Number: [data point] | Reason: [the 'so what'] | Action: [specific next step with timeline]</t>
  </si>
  <si>
    <t>DAY 16 — MONTHLY SUMMARY TABLE  |  Build your trend chart from this sheet</t>
  </si>
  <si>
    <t>These SUMIFS formulas pull from Raw Data. Source for your Trend Line chart.</t>
  </si>
  <si>
    <t>Month</t>
  </si>
  <si>
    <t>Period</t>
  </si>
  <si>
    <t>MoM Change (₹)</t>
  </si>
  <si>
    <t>Trend Tag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</si>
  <si>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</si>
  <si>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</si>
  <si>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</si>
  <si>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</si>
  <si>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</si>
  <si>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</si>
  <si>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</si>
  <si>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</si>
  <si>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</si>
  <si>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</si>
  <si>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</si>
  <si>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</si>
  <si>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</si>
  <si>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</si>
  <si>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</si>
  <si>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</si>
  <si>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</si>
  <si>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</si>
  <si>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TOTAL</t>
  </si>
  <si>
    <t>18 Months</t>
  </si>
  <si>
    <t xml:space="preserve">  HOW TO BUILD YOUR TREND CHART FROM THIS TABLE</t>
  </si>
  <si>
    <t>Step 1: Select C3:C21 + D3:D21 (Period labels + Revenue). Hold Ctrl to select both columns.</t>
  </si>
  <si>
    <t>Step 2: Insert → Charts → Line → Line with Markers. Title: 'Monthly Revenue Trend (Jan 2024 – Jun 2025)'</t>
  </si>
  <si>
    <t>Step 3: Right-click chart → Move Chart → place it in the Dashboard (Your Work) sheet, Section 5 right zone.</t>
  </si>
  <si>
    <t>Step 4: Add data labels on the line. Format → Data Labels → Above. Remove gridlines. Remove legend (single series).</t>
  </si>
  <si>
    <t>Step 5: Format the line in dark blue (#1F3864). Marker size = 6. This is your client-ready trend chart.</t>
  </si>
  <si>
    <t>DAY 16 CONCEPT NOTES  |  What Makes a Real Client Dashboard</t>
  </si>
  <si>
    <t xml:space="preserve">  THE 6-PART DASHBOARD FRAMEWORK</t>
  </si>
  <si>
    <t>Part</t>
  </si>
  <si>
    <t>What it contains</t>
  </si>
  <si>
    <t>Why it matters in real client work</t>
  </si>
  <si>
    <t>1. Raw Data</t>
  </si>
  <si>
    <t>Unmodified flat table — all rows, all columns, no totals</t>
  </si>
  <si>
    <t>The source of truth. If you modify raw data, your analysis can't be audited or reproduced.</t>
  </si>
  <si>
    <t>2. KPI Cards</t>
  </si>
  <si>
    <t>4–6 headline numbers at the top — total revenue, orders, avg margin</t>
  </si>
  <si>
    <t>Clients see these first. They should answer 'How are we doing?' in 5 seconds.</t>
  </si>
  <si>
    <t>3. Region / Category Summary</t>
  </si>
  <si>
    <t>SUMIF tables showing revenue, orders, margin per group</t>
  </si>
  <si>
    <t>Shows WHERE the money comes from — concentration risk or growth opportunity.</t>
  </si>
  <si>
    <t>4. Leaderboard</t>
  </si>
  <si>
    <t>Rep performance table — who is carrying the team, who needs coaching</t>
  </si>
  <si>
    <t>People data = action data. Every client wants to know who their top performer is.</t>
  </si>
  <si>
    <t>5. Charts</t>
  </si>
  <si>
    <t>Bar (comparison) + Line (trend) — the two most used chart types</t>
  </si>
  <si>
    <t>Visual = faster insight. Time series belongs on a Line. Category comparison belongs on a Bar.</t>
  </si>
  <si>
    <t>6. Executive Summary</t>
  </si>
  <si>
    <t>5 written insights using Number + Reason + Action format</t>
  </si>
  <si>
    <t>This is what separates a data analyst from a data entry person. Anyone can build a table. Few can explain what it means.</t>
  </si>
  <si>
    <t xml:space="preserve">  COMMON MISTAKES IN WEEK 4 DASHBOARDS</t>
  </si>
  <si>
    <t>Mistake</t>
  </si>
  <si>
    <t>Why it fails</t>
  </si>
  <si>
    <t>Fix</t>
  </si>
  <si>
    <t>Hardcoding values in KPI cards</t>
  </si>
  <si>
    <t>The number is frozen — updating raw data doesn't update the card</t>
  </si>
  <si>
    <t>Always use formulas: =SUMIF(), =COUNTA(), =AVERAGE()</t>
  </si>
  <si>
    <t>Charts on separate chart sheets</t>
  </si>
  <si>
    <t>Client opens file, sees a table, misses the chart entirely</t>
  </si>
  <si>
    <t>Always move charts to the Dashboard sheet using 'Move Chart'</t>
  </si>
  <si>
    <t>Insights that are just observations</t>
  </si>
  <si>
    <t>'South has highest revenue' tells the client what they can already see</t>
  </si>
  <si>
    <t>Add the action: 'South leads by ₹X — replicate its top-rep strategy in Central'</t>
  </si>
  <si>
    <t>Using % of Total wrong</t>
  </si>
  <si>
    <t>SUMIF(range, criterion, sum_range) — pulls only rows matching the criterion</t>
  </si>
  <si>
    <t>The dashboard recalculates automatically — no manual re-entry when data refreshes</t>
  </si>
  <si>
    <t>Performance tag without IFS logic</t>
  </si>
  <si>
    <t>Manually typing 'High' / 'Low' breaks when data refreshes</t>
  </si>
  <si>
    <t>Use IFS() to auto-tag based on AVERAGE() or LARGE() thresholds</t>
  </si>
  <si>
    <t>Pivot table not refreshed</t>
  </si>
  <si>
    <t>Pivot shows last session's data even after raw data was updated</t>
  </si>
  <si>
    <t>Right-click pivot → Refresh, OR Data tab → Refresh All before presenting</t>
  </si>
  <si>
    <t xml:space="preserve">  THE NUMBER + REASON + ACTION FORMAT</t>
  </si>
  <si>
    <t>Component</t>
  </si>
  <si>
    <t>What it is</t>
  </si>
  <si>
    <t>Example (Electronics category)</t>
  </si>
  <si>
    <t>Number</t>
  </si>
  <si>
    <t>The specific data point — not a vague reference</t>
  </si>
  <si>
    <t>Electronics = ₹42,00,000 (38.2% of total revenue)</t>
  </si>
  <si>
    <t>Reason</t>
  </si>
  <si>
    <t>Why this number matters — risk, opportunity, or pattern</t>
  </si>
  <si>
    <t>38% concentration in one category creates fragility — a supply disruption would be catastrophic</t>
  </si>
  <si>
    <t>Action</t>
  </si>
  <si>
    <t>What the business should do — specific, time-bound if possible</t>
  </si>
  <si>
    <t>Grow Fitness and Footwear to 15% share each within 6 months to reduce Electronics dependency</t>
  </si>
  <si>
    <t>Combined</t>
  </si>
  <si>
    <t>One sentence that clients can act on</t>
  </si>
  <si>
    <t>'Electronics drives 38% of revenue — diversify into Fitness and Footwear to 15% each within H2 to reduce concentration risk.'</t>
  </si>
  <si>
    <t xml:space="preserve">  INTERVIEW FRAMING — DAY 16</t>
  </si>
  <si>
    <t>Question</t>
  </si>
  <si>
    <t>Weak answer</t>
  </si>
  <si>
    <t>Strong answer (use this)</t>
  </si>
  <si>
    <t>'Walk me through how you built this dashboard'</t>
  </si>
  <si>
    <t>'I used SUMIF and made some charts'</t>
  </si>
  <si>
    <t>'I started with a flat raw data table, then built SUMIF summaries by region and category, IFS-based performance tags, two charts for comparison and trend, and a written executive summary. The whole thing is formula-driven — change any row in raw data and every number updates instantly.'</t>
  </si>
  <si>
    <t>'Why did you use IFS instead of IF for the performance grade?'</t>
  </si>
  <si>
    <t>'IFS is easier to write'</t>
  </si>
  <si>
    <t>'IFS handles multiple conditions cleanly in one formula without nesting. For three grades — High, Target, Coaching — nested IFs become hard to read and debug. IFS reads like a decision table, which is better for a file someone else will maintain.'</t>
  </si>
  <si>
    <t>'How would you make this dashboard interactive for a client?'</t>
  </si>
  <si>
    <t>'I would add slicers'</t>
  </si>
  <si>
    <t>'Convert the raw data to an Excel Table (Ctrl+T), build pivot tables on top of it, add Region and Category slicers connected to all pivots, and a pivot chart that auto-updates on slicer clicks. That removes the need for the client to understand formulas — they just click.'</t>
  </si>
  <si>
    <t>DAY 16 SCORING GUIDE  |  Week 4 Mini-Project  |  Total: 80 Points</t>
  </si>
  <si>
    <t>This is your highest-stakes submission yet — 80 points, 6 sections, capstone of Month 1</t>
  </si>
  <si>
    <t>Task / Section</t>
  </si>
  <si>
    <t>Skill Tested</t>
  </si>
  <si>
    <t>Success Criteria</t>
  </si>
  <si>
    <t>Pts</t>
  </si>
  <si>
    <t>KPI Cards (5 cards)</t>
  </si>
  <si>
    <t>SUMIF / COUNTA / AVERAGE</t>
  </si>
  <si>
    <t>All 5 KPI cards use formulas referencing Raw Data. No hardcoded values. Correct calculations. Number formats applied.</t>
  </si>
  <si>
    <t>10</t>
  </si>
  <si>
    <t>Region Summary Table</t>
  </si>
  <si>
    <t>SUMIF / COUNTIF / AVERAGEIF / IFS</t>
  </si>
  <si>
    <t>All 5 regions present. Revenue, %, Orders, Avg Order Value, Avg Margin all formula-driven. IFS Performance Tag auto-generates correctly. Grand Total row.</t>
  </si>
  <si>
    <t>15</t>
  </si>
  <si>
    <t>Category Summary Table</t>
  </si>
  <si>
    <t>SUMIF / COUNTIF / AVERAGEIF</t>
  </si>
  <si>
    <t>All 6 categories present. Revenue + % + Orders + Avg Margin correct. Data Bar CF applied to Revenue Bar column. Grand Total.</t>
  </si>
  <si>
    <t>12</t>
  </si>
  <si>
    <t>Rep Leaderboard</t>
  </si>
  <si>
    <t>SUMIF / COUNTIF / IFS</t>
  </si>
  <si>
    <t>All 10 reps present. Revenue and Order counts correct via SUMIF/COUNTIF on Sales Rep column. IFS grade tag works. Sorted by revenue descending (bonus if done).</t>
  </si>
  <si>
    <t>13</t>
  </si>
  <si>
    <t>2 Charts (Region Bar + Trend Line)</t>
  </si>
  <si>
    <t>Chart creation</t>
  </si>
  <si>
    <t>Chart 1: Clustered Bar — Revenue by Region. Title, data labels, no 3D, no gridlines. Chart 2: Line — Monthly Revenue Trend from Monthly Summary table. Markers, title, no gridlines. Both on Dashboard sheet.</t>
  </si>
  <si>
    <t>Executive Summary (5 Insights)</t>
  </si>
  <si>
    <t>Communication</t>
  </si>
  <si>
    <t>All 5 insights answered. Each uses Number + Reason + Action format. No insight is a pure observation — all 5 must include an action/recommendation. Specific ₹ figures cited.</t>
  </si>
  <si>
    <t>BONUS: Conditional Formatting</t>
  </si>
  <si>
    <t>CF</t>
  </si>
  <si>
    <t>Data Bar on Category Revenue Bar column. Colour scale or icon set on Rep Leaderboard revenue column. Both applied from formula columns, not raw data.</t>
  </si>
  <si>
    <t>+5 Bonus</t>
  </si>
  <si>
    <t>BONUS: Raw Data rule</t>
  </si>
  <si>
    <t>Discipline</t>
  </si>
  <si>
    <t>Raw Data sheet untouched — no added columns, no deleted rows, no modifications whatsoever.</t>
  </si>
  <si>
    <t>+3 Bonus</t>
  </si>
  <si>
    <t>TOTAL (excl. bonus)</t>
  </si>
  <si>
    <t>80</t>
  </si>
  <si>
    <t xml:space="preserve">  GRADING BANDS</t>
  </si>
  <si>
    <t>74–80+</t>
  </si>
  <si>
    <t>Distinction</t>
  </si>
  <si>
    <t>Month 1 complete. You have a real client dashboard in your portfolio. GitHub-ready.</t>
  </si>
  <si>
    <t>62–73</t>
  </si>
  <si>
    <t>Pass</t>
  </si>
  <si>
    <t>Strong technical work. Written insights need one more revision pass.</t>
  </si>
  <si>
    <t>48–61</t>
  </si>
  <si>
    <t>Needs Work</t>
  </si>
  <si>
    <t>Charts or formulas incomplete. Resubmit before moving to Month 2.</t>
  </si>
  <si>
    <t>0–47</t>
  </si>
  <si>
    <t>Re-attempt</t>
  </si>
  <si>
    <t>Rebuild sections 2–4 first. Post questions before resubmitting.</t>
  </si>
  <si>
    <t xml:space="preserve">  KEY TAKEAWAYS — DAY 16 (Month 1 Capstone)</t>
  </si>
  <si>
    <t>1. A dashboard is not a collection of tables — it is a decision-support tool. Every element must answer a question a manager actually has.</t>
  </si>
  <si>
    <t>2. IFS() for performance tags is not a formula trick — it's a business rule encoded in a cell. Change the threshold, change the company's definition of 'high performer'.</t>
  </si>
  <si>
    <t>3. The Executive Summary is the hardest part to write but the most valuable. Anyone can build the table. The insight is what you're being paid for.</t>
  </si>
  <si>
    <t>4. Raw data is untouched. Always. In real client work, you will be blamed if the source data is modified — even if you improved it.</t>
  </si>
  <si>
    <t>5. Formula-driven dashboards vs. static dashboards: one takes 5 minutes to update when data changes. The other takes 2 hours. Always build formula-driven.</t>
  </si>
  <si>
    <t>INTERVIEW: 'What's the hardest part of building a dashboard for a client?' → 'Not the technical part — the technical part is repeatable. The hardest part is writing the insights: translating numbers into decisions the client can act on the same day.'</t>
  </si>
  <si>
    <t>The East region generates the highest-revenue at Rs 1189700, leading the second highest region(North) by 1.42%.This narrow lead indicates a highly competitive landscape where East has a slight edge in customer volume. Perform a success audit in the East to identify specifit sales tactics that can be exported to lower performing West region to boost its numbers.</t>
  </si>
  <si>
    <t>Electronics is the biggest revenue driver, totalling Rs 3005600 and representing 53% of the company total revenue.While this shows market dominance, it represents a significant concentration risk if the electronics market faces a downturn.The business shoud diversify its portfolio by increasing marketing spend on Appliances and Furniture to balance the revenue mix.</t>
  </si>
  <si>
    <t>Siddharth Rao is the top rep with Rs 837700 which is Rs 270020 above the team average of Rs 567680. This performance signals a Star Performer with highly effective closing process or a focus on premium products. Have siddharth lead a traning session to replicate his workflow accross the team five members currently marked as Needs Coaching.</t>
  </si>
  <si>
    <t>Total revenur dropped by 37.6% between December peak(Rs 570300) and February low(Rs 355400). This indicates a seasonal holiday hangover where sals cool off significantly afte the New Year. Launch a targeted Flash Sale or loyalty promotion starting January 15th to bridge this revenue gap and stablize cash flow during slow first quarter</t>
  </si>
  <si>
    <t>Row Labels</t>
  </si>
  <si>
    <t>Grand Total</t>
  </si>
  <si>
    <t>Sum of Revenue (₹)</t>
  </si>
  <si>
    <t>Column Labels</t>
  </si>
  <si>
    <t>Electronics in the Central is the highest value combination, totaling Rs 653500. This is a major opportunity area where regional demand and category performance perfectly alogned. Protect this segment by offering exclusive loyalty discounts to these specific customers to ensure they don't switch to a competitor.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</si>
</sst>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"/>
    <numFmt numFmtId="165" formatCode="0.0%"/>
    <numFmt numFmtId="166" formatCode="\+#,##0;\-#,##0;0"/>
  </numFmts>
  <fonts count="34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i/>
      <sz val="9"/>
      <color rgb="FF2E5EAA"/>
      <name val="Arial"/>
      <charset val="1"/>
    </font>
    <font>
      <b/>
      <sz val="10"/>
      <color rgb="FFFFFFFF"/>
      <name val="Arial"/>
      <charset val="1"/>
    </font>
    <font>
      <sz val="9"/>
      <color rgb="FF2E5EAA"/>
      <name val="Arial"/>
      <charset val="1"/>
    </font>
    <font>
      <sz val="9"/>
      <name val="Arial"/>
      <charset val="1"/>
    </font>
    <font>
      <b/>
      <sz val="14"/>
      <color rgb="FFFFFFFF"/>
      <name val="Arial"/>
      <charset val="1"/>
    </font>
    <font>
      <sz val="9"/>
      <color rgb="FFFFFFFF"/>
      <name val="Arial"/>
      <charset val="1"/>
    </font>
    <font>
      <b/>
      <sz val="16"/>
      <color rgb="FFFFFFFF"/>
      <name val="Arial"/>
      <charset val="1"/>
    </font>
    <font>
      <b/>
      <sz val="10"/>
      <color rgb="FF1F3864"/>
      <name val="Arial"/>
      <charset val="1"/>
    </font>
    <font>
      <sz val="10"/>
      <color rgb="FF000000"/>
      <name val="Arial"/>
      <charset val="1"/>
    </font>
    <font>
      <sz val="10"/>
      <name val="Arial"/>
      <charset val="1"/>
    </font>
    <font>
      <i/>
      <sz val="10"/>
      <color rgb="FF2E5EAA"/>
      <name val="Arial"/>
      <charset val="1"/>
    </font>
    <font>
      <i/>
      <sz val="9"/>
      <color rgb="FF1F3864"/>
      <name val="Arial"/>
      <charset val="1"/>
    </font>
    <font>
      <i/>
      <sz val="10"/>
      <color rgb="FF888888"/>
      <name val="Arial"/>
      <charset val="1"/>
    </font>
    <font>
      <b/>
      <sz val="12"/>
      <color rgb="FFFFFFFF"/>
      <name val="Arial"/>
      <charset val="1"/>
    </font>
    <font>
      <b/>
      <sz val="10"/>
      <color rgb="FF2E5EAA"/>
      <name val="Arial"/>
      <charset val="1"/>
    </font>
    <font>
      <b/>
      <sz val="10"/>
      <name val="Arial"/>
      <charset val="1"/>
    </font>
    <font>
      <b/>
      <sz val="11"/>
      <color rgb="FFFFFFFF"/>
      <name val="Arial"/>
      <charset val="1"/>
    </font>
    <font>
      <b/>
      <sz val="9"/>
      <color rgb="FFFFFFFF"/>
      <name val="Arial"/>
      <charset val="1"/>
    </font>
    <font>
      <b/>
      <sz val="10"/>
      <color rgb="FF000000"/>
      <name val="Arial"/>
      <charset val="1"/>
    </font>
    <font>
      <sz val="9"/>
      <color rgb="FF000000"/>
      <name val="Arial"/>
      <charset val="1"/>
    </font>
    <font>
      <b/>
      <sz val="12"/>
      <color rgb="FF1A5C2A"/>
      <name val="Arial"/>
      <charset val="1"/>
    </font>
    <font>
      <b/>
      <sz val="10"/>
      <color rgb="FF7F6000"/>
      <name val="Arial"/>
      <charset val="1"/>
    </font>
    <font>
      <sz val="9"/>
      <color rgb="FF7F6000"/>
      <name val="Arial"/>
      <charset val="1"/>
    </font>
    <font>
      <b/>
      <sz val="12"/>
      <color rgb="FF7F6000"/>
      <name val="Arial"/>
      <charset val="1"/>
    </font>
    <font>
      <b/>
      <sz val="10"/>
      <color rgb="FF1A5C2A"/>
      <name val="Arial"/>
      <charset val="1"/>
    </font>
    <font>
      <sz val="10"/>
      <color rgb="FF1A5C2A"/>
      <name val="Arial"/>
      <charset val="1"/>
    </font>
    <font>
      <sz val="10"/>
      <color rgb="FF2E5EAA"/>
      <name val="Arial"/>
      <charset val="1"/>
    </font>
    <font>
      <b/>
      <sz val="10"/>
      <color rgb="FF843C0C"/>
      <name val="Arial"/>
      <charset val="1"/>
    </font>
    <font>
      <sz val="10"/>
      <color rgb="FF843C0C"/>
      <name val="Arial"/>
      <charset val="1"/>
    </font>
    <font>
      <b/>
      <sz val="10"/>
      <color rgb="FFC00000"/>
      <name val="Arial"/>
      <charset val="1"/>
    </font>
    <font>
      <sz val="10"/>
      <color rgb="FFC00000"/>
      <name val="Arial"/>
      <charset val="1"/>
    </font>
    <font>
      <b/>
      <i/>
      <sz val="9"/>
      <color rgb="FF1F3864"/>
      <name val="Arial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8F5"/>
        <bgColor rgb="FFE2EFDA"/>
      </patternFill>
    </fill>
    <fill>
      <patternFill patternType="solid">
        <fgColor rgb="FF2E5EAA"/>
        <bgColor rgb="FF3366FF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8F8EC"/>
      </patternFill>
    </fill>
    <fill>
      <patternFill patternType="solid">
        <fgColor rgb="FF1A5C2A"/>
        <bgColor rgb="FF375623"/>
      </patternFill>
    </fill>
    <fill>
      <patternFill patternType="solid">
        <fgColor rgb="FF843C0C"/>
        <bgColor rgb="FF7F6000"/>
      </patternFill>
    </fill>
    <fill>
      <patternFill patternType="solid">
        <fgColor rgb="FFE8F8EC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E8F8EC"/>
      </patternFill>
    </fill>
    <fill>
      <patternFill patternType="solid">
        <fgColor rgb="FFFCE4D6"/>
        <bgColor rgb="FFFFE0E0"/>
      </patternFill>
    </fill>
    <fill>
      <patternFill patternType="solid">
        <fgColor rgb="FFFFE0E0"/>
        <b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/>
    </xf>
    <xf numFmtId="164" fontId="5" fillId="5" borderId="1" xfId="0" applyNumberFormat="1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3" fontId="5" fillId="5" borderId="1" xfId="0" applyNumberFormat="1" applyFont="1" applyFill="1" applyBorder="1" applyAlignment="1">
      <alignment horizontal="center"/>
    </xf>
    <xf numFmtId="165" fontId="5" fillId="5" borderId="1" xfId="0" applyNumberFormat="1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164" fontId="5" fillId="6" borderId="1" xfId="0" applyNumberFormat="1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3" fontId="5" fillId="6" borderId="1" xfId="0" applyNumberFormat="1" applyFont="1" applyFill="1" applyBorder="1" applyAlignment="1">
      <alignment horizontal="center"/>
    </xf>
    <xf numFmtId="165" fontId="5" fillId="6" borderId="1" xfId="0" applyNumberFormat="1" applyFont="1" applyFill="1" applyBorder="1" applyAlignment="1">
      <alignment horizontal="center"/>
    </xf>
    <xf numFmtId="0" fontId="9" fillId="5" borderId="1" xfId="0" applyFont="1" applyFill="1" applyBorder="1" applyAlignment="1">
      <alignment horizontal="center" vertical="center"/>
    </xf>
    <xf numFmtId="3" fontId="10" fillId="5" borderId="1" xfId="0" applyNumberFormat="1" applyFont="1" applyFill="1" applyBorder="1" applyAlignment="1">
      <alignment horizontal="center" vertical="center"/>
    </xf>
    <xf numFmtId="165" fontId="10" fillId="5" borderId="1" xfId="0" applyNumberFormat="1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3" fontId="10" fillId="6" borderId="1" xfId="0" applyNumberFormat="1" applyFont="1" applyFill="1" applyBorder="1" applyAlignment="1">
      <alignment horizontal="center" vertical="center"/>
    </xf>
    <xf numFmtId="165" fontId="10" fillId="6" borderId="1" xfId="0" applyNumberFormat="1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165" fontId="3" fillId="2" borderId="1" xfId="0" applyNumberFormat="1" applyFont="1" applyFill="1" applyBorder="1" applyAlignment="1">
      <alignment horizontal="center" vertical="center"/>
    </xf>
    <xf numFmtId="3" fontId="11" fillId="5" borderId="1" xfId="0" applyNumberFormat="1" applyFont="1" applyFill="1" applyBorder="1" applyAlignment="1">
      <alignment horizontal="center" vertical="center"/>
    </xf>
    <xf numFmtId="165" fontId="11" fillId="5" borderId="1" xfId="0" applyNumberFormat="1" applyFont="1" applyFill="1" applyBorder="1" applyAlignment="1">
      <alignment horizontal="center" vertical="center"/>
    </xf>
    <xf numFmtId="3" fontId="11" fillId="6" borderId="1" xfId="0" applyNumberFormat="1" applyFont="1" applyFill="1" applyBorder="1" applyAlignment="1">
      <alignment horizontal="center" vertical="center"/>
    </xf>
    <xf numFmtId="165" fontId="11" fillId="6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left" vertical="center"/>
    </xf>
    <xf numFmtId="0" fontId="11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left" vertical="center"/>
    </xf>
    <xf numFmtId="0" fontId="11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16" fillId="5" borderId="1" xfId="0" applyFont="1" applyFill="1" applyBorder="1" applyAlignment="1">
      <alignment horizontal="center"/>
    </xf>
    <xf numFmtId="0" fontId="17" fillId="5" borderId="1" xfId="0" applyFont="1" applyFill="1" applyBorder="1" applyAlignment="1">
      <alignment horizontal="center"/>
    </xf>
    <xf numFmtId="3" fontId="11" fillId="5" borderId="1" xfId="0" applyNumberFormat="1" applyFont="1" applyFill="1" applyBorder="1" applyAlignment="1">
      <alignment horizontal="center"/>
    </xf>
    <xf numFmtId="165" fontId="11" fillId="5" borderId="1" xfId="0" applyNumberFormat="1" applyFont="1" applyFill="1" applyBorder="1" applyAlignment="1">
      <alignment horizontal="center"/>
    </xf>
    <xf numFmtId="0" fontId="11" fillId="5" borderId="1" xfId="0" applyFont="1" applyFill="1" applyBorder="1" applyAlignment="1">
      <alignment horizontal="center"/>
    </xf>
    <xf numFmtId="0" fontId="16" fillId="6" borderId="1" xfId="0" applyFont="1" applyFill="1" applyBorder="1" applyAlignment="1">
      <alignment horizontal="center"/>
    </xf>
    <xf numFmtId="0" fontId="17" fillId="6" borderId="1" xfId="0" applyFont="1" applyFill="1" applyBorder="1" applyAlignment="1">
      <alignment horizontal="center"/>
    </xf>
    <xf numFmtId="3" fontId="11" fillId="6" borderId="1" xfId="0" applyNumberFormat="1" applyFont="1" applyFill="1" applyBorder="1" applyAlignment="1">
      <alignment horizontal="center"/>
    </xf>
    <xf numFmtId="165" fontId="11" fillId="6" borderId="1" xfId="0" applyNumberFormat="1" applyFont="1" applyFill="1" applyBorder="1" applyAlignment="1">
      <alignment horizontal="center"/>
    </xf>
    <xf numFmtId="166" fontId="11" fillId="6" borderId="1" xfId="0" applyNumberFormat="1" applyFont="1" applyFill="1" applyBorder="1" applyAlignment="1">
      <alignment horizontal="center"/>
    </xf>
    <xf numFmtId="0" fontId="11" fillId="6" borderId="1" xfId="0" applyFont="1" applyFill="1" applyBorder="1" applyAlignment="1">
      <alignment horizontal="center"/>
    </xf>
    <xf numFmtId="166" fontId="11" fillId="5" borderId="1" xfId="0" applyNumberFormat="1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3" fontId="3" fillId="2" borderId="0" xfId="0" applyNumberFormat="1" applyFont="1" applyFill="1" applyAlignment="1">
      <alignment horizontal="center"/>
    </xf>
    <xf numFmtId="165" fontId="3" fillId="2" borderId="0" xfId="0" applyNumberFormat="1" applyFont="1" applyFill="1" applyAlignment="1">
      <alignment horizontal="center"/>
    </xf>
    <xf numFmtId="0" fontId="19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20" fillId="5" borderId="1" xfId="0" applyFont="1" applyFill="1" applyBorder="1" applyAlignment="1">
      <alignment horizontal="left" vertical="center"/>
    </xf>
    <xf numFmtId="0" fontId="16" fillId="5" borderId="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left" vertical="center" wrapText="1"/>
    </xf>
    <xf numFmtId="0" fontId="22" fillId="5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left" vertical="center"/>
    </xf>
    <xf numFmtId="0" fontId="16" fillId="6" borderId="1" xfId="0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left" vertical="center" wrapText="1"/>
    </xf>
    <xf numFmtId="0" fontId="22" fillId="6" borderId="1" xfId="0" applyFont="1" applyFill="1" applyBorder="1" applyAlignment="1">
      <alignment horizontal="center" vertical="center"/>
    </xf>
    <xf numFmtId="0" fontId="23" fillId="10" borderId="1" xfId="0" applyFont="1" applyFill="1" applyBorder="1" applyAlignment="1">
      <alignment horizontal="left" vertical="center"/>
    </xf>
    <xf numFmtId="0" fontId="16" fillId="10" borderId="1" xfId="0" applyFont="1" applyFill="1" applyBorder="1" applyAlignment="1">
      <alignment horizontal="center" vertical="center"/>
    </xf>
    <xf numFmtId="0" fontId="24" fillId="10" borderId="1" xfId="0" applyFont="1" applyFill="1" applyBorder="1" applyAlignment="1">
      <alignment horizontal="left" vertical="center" wrapText="1"/>
    </xf>
    <xf numFmtId="0" fontId="25" fillId="10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26" fillId="11" borderId="1" xfId="0" applyFont="1" applyFill="1" applyBorder="1" applyAlignment="1">
      <alignment horizontal="center" vertical="center"/>
    </xf>
    <xf numFmtId="0" fontId="27" fillId="11" borderId="1" xfId="0" applyFont="1" applyFill="1" applyBorder="1" applyAlignment="1">
      <alignment horizontal="left" vertical="center"/>
    </xf>
    <xf numFmtId="0" fontId="0" fillId="11" borderId="1" xfId="0" applyFill="1" applyBorder="1"/>
    <xf numFmtId="0" fontId="16" fillId="3" borderId="1" xfId="0" applyFont="1" applyFill="1" applyBorder="1" applyAlignment="1">
      <alignment horizontal="center" vertical="center"/>
    </xf>
    <xf numFmtId="0" fontId="28" fillId="3" borderId="1" xfId="0" applyFont="1" applyFill="1" applyBorder="1" applyAlignment="1">
      <alignment horizontal="left" vertical="center"/>
    </xf>
    <xf numFmtId="0" fontId="0" fillId="3" borderId="1" xfId="0" applyFill="1" applyBorder="1"/>
    <xf numFmtId="0" fontId="29" fillId="12" borderId="1" xfId="0" applyFont="1" applyFill="1" applyBorder="1" applyAlignment="1">
      <alignment horizontal="center" vertical="center"/>
    </xf>
    <xf numFmtId="0" fontId="30" fillId="12" borderId="1" xfId="0" applyFont="1" applyFill="1" applyBorder="1" applyAlignment="1">
      <alignment horizontal="left" vertical="center"/>
    </xf>
    <xf numFmtId="0" fontId="0" fillId="12" borderId="1" xfId="0" applyFill="1" applyBorder="1"/>
    <xf numFmtId="0" fontId="31" fillId="13" borderId="1" xfId="0" applyFont="1" applyFill="1" applyBorder="1" applyAlignment="1">
      <alignment horizontal="center" vertical="center"/>
    </xf>
    <xf numFmtId="0" fontId="32" fillId="13" borderId="1" xfId="0" applyFont="1" applyFill="1" applyBorder="1" applyAlignment="1">
      <alignment horizontal="left" vertical="center"/>
    </xf>
    <xf numFmtId="0" fontId="0" fillId="13" borderId="1" xfId="0" applyFill="1" applyBorder="1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0" fontId="6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3" fontId="8" fillId="2" borderId="0" xfId="0" applyNumberFormat="1" applyFont="1" applyFill="1" applyAlignment="1">
      <alignment horizontal="center" vertical="center"/>
    </xf>
    <xf numFmtId="3" fontId="8" fillId="4" borderId="0" xfId="0" applyNumberFormat="1" applyFont="1" applyFill="1" applyAlignment="1">
      <alignment horizontal="center" vertical="center"/>
    </xf>
    <xf numFmtId="3" fontId="8" fillId="7" borderId="0" xfId="0" applyNumberFormat="1" applyFont="1" applyFill="1" applyAlignment="1">
      <alignment horizontal="center" vertical="center"/>
    </xf>
    <xf numFmtId="165" fontId="8" fillId="8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12" fillId="3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/>
    </xf>
    <xf numFmtId="0" fontId="13" fillId="3" borderId="1" xfId="0" applyFont="1" applyFill="1" applyBorder="1" applyAlignment="1">
      <alignment horizontal="left" vertical="center" wrapText="1"/>
    </xf>
    <xf numFmtId="0" fontId="14" fillId="5" borderId="1" xfId="0" applyFont="1" applyFill="1" applyBorder="1" applyAlignment="1">
      <alignment horizontal="left" vertical="center" wrapText="1"/>
    </xf>
    <xf numFmtId="0" fontId="13" fillId="9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left" vertical="center" wrapText="1"/>
    </xf>
    <xf numFmtId="0" fontId="5" fillId="5" borderId="0" xfId="0" applyFont="1" applyFill="1" applyAlignment="1">
      <alignment horizontal="left" vertical="center" wrapText="1"/>
    </xf>
    <xf numFmtId="0" fontId="15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18" fillId="2" borderId="0" xfId="0" applyFont="1" applyFill="1" applyAlignment="1">
      <alignment horizontal="left" vertical="center"/>
    </xf>
    <xf numFmtId="0" fontId="18" fillId="4" borderId="0" xfId="0" applyFont="1" applyFill="1" applyAlignment="1">
      <alignment horizontal="left" vertical="center"/>
    </xf>
    <xf numFmtId="0" fontId="18" fillId="7" borderId="0" xfId="0" applyFont="1" applyFill="1" applyAlignment="1">
      <alignment horizontal="left" vertical="center"/>
    </xf>
    <xf numFmtId="0" fontId="12" fillId="3" borderId="0" xfId="0" applyFont="1" applyFill="1" applyAlignment="1">
      <alignment horizontal="center" vertical="center"/>
    </xf>
    <xf numFmtId="0" fontId="15" fillId="2" borderId="1" xfId="0" applyFont="1" applyFill="1" applyBorder="1" applyAlignment="1">
      <alignment horizontal="right" vertical="center"/>
    </xf>
    <xf numFmtId="0" fontId="18" fillId="2" borderId="1" xfId="0" applyFont="1" applyFill="1" applyBorder="1" applyAlignment="1">
      <alignment horizontal="left" vertical="center"/>
    </xf>
    <xf numFmtId="0" fontId="33" fillId="3" borderId="1" xfId="0" applyFont="1" applyFill="1" applyBorder="1" applyAlignment="1">
      <alignment horizontal="left" vertical="center" wrapText="1"/>
    </xf>
    <xf numFmtId="0" fontId="21" fillId="5" borderId="1" xfId="0" applyFont="1" applyFill="1" applyBorder="1" applyAlignment="1">
      <alignment horizontal="left" vertical="center" wrapText="1"/>
    </xf>
    <xf numFmtId="0" fontId="21" fillId="6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A5C2A"/>
      <rgbColor rgb="FF000080"/>
      <rgbColor rgb="FF7F6000"/>
      <rgbColor rgb="FF800080"/>
      <rgbColor rgb="FF008080"/>
      <rgbColor rgb="FFBFBFBF"/>
      <rgbColor rgb="FF888888"/>
      <rgbColor rgb="FF9999FF"/>
      <rgbColor rgb="FF993366"/>
      <rgbColor rgb="FFFFF2CC"/>
      <rgbColor rgb="FFE8F8EC"/>
      <rgbColor rgb="FF660066"/>
      <rgbColor rgb="FFFF8080"/>
      <rgbColor rgb="FF2E5EAA"/>
      <rgbColor rgb="FFFF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8F5"/>
      <rgbColor rgb="FFE2EFDA"/>
      <rgbColor rgb="FFF2F2F2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843C0C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</a:t>
            </a:r>
            <a:r>
              <a:rPr lang="en-IN" baseline="0"/>
              <a:t> By Region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'Dashboard (Your Work)'!$B$10:$B$14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Central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'Dashboard (Your Work)'!$C$10:$C$14</c:f>
              <c:numCache>
                <c:formatCode>#,##0</c:formatCode>
                <c:ptCount val="5"/>
                <c:pt idx="0">
                  <c:v>1189700</c:v>
                </c:pt>
                <c:pt idx="1">
                  <c:v>1173000</c:v>
                </c:pt>
                <c:pt idx="2">
                  <c:v>1142400</c:v>
                </c:pt>
                <c:pt idx="3">
                  <c:v>1097100</c:v>
                </c:pt>
                <c:pt idx="4">
                  <c:v>1069100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B1-4BCD-9A93-0BF53576F2C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138872335"/>
        <c:axId val="2138871855"/>
      </c:barChart>
      <c:catAx>
        <c:axId val="21388723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871855"/>
        <c:crosses val="autoZero"/>
        <c:auto val="1"/>
        <c:lblAlgn val="ctr"/>
        <c:lblOffset val="100"/>
        <c:noMultiLvlLbl val="0"/>
      </c:catAx>
      <c:valAx>
        <c:axId val="2138871855"/>
        <c:scaling>
          <c:orientation val="minMax"/>
        </c:scaling>
        <c:delete val="0"/>
        <c:axPos val="b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872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Monthly Revenue Trend</a:t>
            </a:r>
            <a:r>
              <a:rPr lang="en-IN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Summary'!$D$3</c:f>
              <c:strCache>
                <c:ptCount val="1"/>
                <c:pt idx="0">
                  <c:v>Total Revenue (₹)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'Monthly Summary'!$C$4:$C$21</c:f>
              <c:strCache>
                <c:ptCount val="18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  <c:pt idx="12">
                  <c:v>Jan-25</c:v>
                </c:pt>
                <c:pt idx="13">
                  <c:v>Feb-25</c:v>
                </c:pt>
                <c:pt idx="14">
                  <c:v>Mar-25</c:v>
                </c:pt>
                <c:pt idx="15">
                  <c:v>Apr-25</c:v>
                </c:pt>
                <c:pt idx="16">
                  <c:v>May-25</c:v>
                </c:pt>
                <c:pt idx="17">
                  <c:v>Jun-25</c:v>
                </c:pt>
              </c:strCache>
            </c:strRef>
          </c:cat>
          <c:val>
            <c:numRef>
              <c:f>'Monthly Summary'!$D$4:$D$21</c:f>
              <c:numCache>
                <c:formatCode>#,##0</c:formatCode>
                <c:ptCount val="18"/>
                <c:pt idx="0">
                  <c:v>296100</c:v>
                </c:pt>
                <c:pt idx="1">
                  <c:v>444900</c:v>
                </c:pt>
                <c:pt idx="2">
                  <c:v>398200</c:v>
                </c:pt>
                <c:pt idx="3">
                  <c:v>413100</c:v>
                </c:pt>
                <c:pt idx="4">
                  <c:v>450300</c:v>
                </c:pt>
                <c:pt idx="5">
                  <c:v>481900</c:v>
                </c:pt>
                <c:pt idx="6">
                  <c:v>259000</c:v>
                </c:pt>
                <c:pt idx="7">
                  <c:v>252300</c:v>
                </c:pt>
                <c:pt idx="8">
                  <c:v>233900</c:v>
                </c:pt>
                <c:pt idx="9">
                  <c:v>335400</c:v>
                </c:pt>
                <c:pt idx="10">
                  <c:v>570300</c:v>
                </c:pt>
                <c:pt idx="11">
                  <c:v>528500</c:v>
                </c:pt>
                <c:pt idx="12">
                  <c:v>408000</c:v>
                </c:pt>
                <c:pt idx="13">
                  <c:v>355400</c:v>
                </c:pt>
                <c:pt idx="14">
                  <c:v>244000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FD-4AD4-84E5-2C11A2DE986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58266399"/>
        <c:axId val="258268319"/>
      </c:lineChart>
      <c:catAx>
        <c:axId val="258266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8268319"/>
        <c:crosses val="autoZero"/>
        <c:auto val="1"/>
        <c:lblAlgn val="ctr"/>
        <c:lblOffset val="100"/>
        <c:noMultiLvlLbl val="0"/>
      </c:catAx>
      <c:valAx>
        <c:axId val="258268319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8266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40</xdr:row>
      <xdr:rowOff>11430</xdr:rowOff>
    </xdr:from>
    <xdr:to>
      <xdr:col>5</xdr:col>
      <xdr:colOff>944880</xdr:colOff>
      <xdr:row>50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A4BB9F-4CD3-D09D-A99D-FF8DAF415A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7620</xdr:colOff>
      <xdr:row>40</xdr:row>
      <xdr:rowOff>7626</xdr:rowOff>
    </xdr:from>
    <xdr:to>
      <xdr:col>11</xdr:col>
      <xdr:colOff>30480</xdr:colOff>
      <xdr:row>49</xdr:row>
      <xdr:rowOff>182880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1459228E-294C-145C-C9A8-E8EE1514E7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epanshu" refreshedDate="46115.47726712963" createdVersion="8" refreshedVersion="8" minRefreshableVersion="3" recordCount="150" xr:uid="{EE7C7B26-9803-4BB5-B7D3-6321D5FE30DA}">
  <cacheSource type="worksheet">
    <worksheetSource ref="B3:K153" sheet="Raw Data"/>
  </cacheSource>
  <cacheFields count="10">
    <cacheField name="Order ID" numFmtId="0">
      <sharedItems/>
    </cacheField>
    <cacheField name="Order Date" numFmtId="164">
      <sharedItems containsSemiMixedTypes="0" containsNonDate="0" containsDate="1" containsString="0" minDate="2024-01-01T00:00:00" maxDate="2025-03-26T00:00:00"/>
    </cacheField>
    <cacheField name="Region" numFmtId="0">
      <sharedItems count="5">
        <s v="North"/>
        <s v="South"/>
        <s v="East"/>
        <s v="West"/>
        <s v="Central"/>
      </sharedItems>
    </cacheField>
    <cacheField name="Category" numFmtId="0">
      <sharedItems count="6">
        <s v="Electronics"/>
        <s v="Appliances"/>
        <s v="Footwear"/>
        <s v="Fitness"/>
        <s v="Nutrition"/>
        <s v="Furniture"/>
      </sharedItems>
    </cacheField>
    <cacheField name="Product" numFmtId="0">
      <sharedItems/>
    </cacheField>
    <cacheField name="Revenue (₹)" numFmtId="3">
      <sharedItems containsSemiMixedTypes="0" containsString="0" containsNumber="1" containsInteger="1" minValue="1200" maxValue="194000"/>
    </cacheField>
    <cacheField name="Cost (₹)" numFmtId="3">
      <sharedItems containsSemiMixedTypes="0" containsString="0" containsNumber="1" containsInteger="1" minValue="800" maxValue="122000"/>
    </cacheField>
    <cacheField name="Units" numFmtId="0">
      <sharedItems containsSemiMixedTypes="0" containsString="0" containsNumber="1" containsInteger="1" minValue="1" maxValue="8"/>
    </cacheField>
    <cacheField name="Margin %" numFmtId="165">
      <sharedItems containsSemiMixedTypes="0" containsString="0" containsNumber="1" minValue="0.28100000000000003" maxValue="0.52"/>
    </cacheField>
    <cacheField name="Sales Rep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s v="ORD-001"/>
    <d v="2024-01-01T00:00:00"/>
    <x v="0"/>
    <x v="0"/>
    <s v="Smart TV 55&quot;"/>
    <n v="49900"/>
    <n v="32600"/>
    <n v="2"/>
    <n v="0.34599999999999997"/>
    <s v="Arjun Sharma"/>
  </r>
  <r>
    <s v="ORD-002"/>
    <d v="2024-01-06T00:00:00"/>
    <x v="1"/>
    <x v="1"/>
    <s v="Microwave"/>
    <n v="26500"/>
    <n v="14800"/>
    <n v="3"/>
    <n v="0.442"/>
    <s v="Sneha Iyer"/>
  </r>
  <r>
    <s v="ORD-003"/>
    <d v="2024-01-07T00:00:00"/>
    <x v="2"/>
    <x v="2"/>
    <s v="Formal Leather"/>
    <n v="8500"/>
    <n v="6100"/>
    <n v="2"/>
    <n v="0.28799999999999998"/>
    <s v="Karan Singh"/>
  </r>
  <r>
    <s v="ORD-004"/>
    <d v="2024-01-12T00:00:00"/>
    <x v="3"/>
    <x v="3"/>
    <s v="Yoga Mat"/>
    <n v="4600"/>
    <n v="2600"/>
    <n v="4"/>
    <n v="0.42399999999999999"/>
    <s v="Meera Joshi"/>
  </r>
  <r>
    <s v="ORD-005"/>
    <d v="2024-01-14T00:00:00"/>
    <x v="4"/>
    <x v="4"/>
    <s v="Protein Powder"/>
    <n v="9100"/>
    <n v="5000"/>
    <n v="4"/>
    <n v="0.44800000000000001"/>
    <s v="Siddharth Rao"/>
  </r>
  <r>
    <s v="ORD-006"/>
    <d v="2024-01-16T00:00:00"/>
    <x v="0"/>
    <x v="5"/>
    <s v="Office Chair"/>
    <n v="43600"/>
    <n v="28500"/>
    <n v="4"/>
    <n v="0.34699999999999998"/>
    <s v="Priya Nair"/>
  </r>
  <r>
    <s v="ORD-007"/>
    <d v="2024-01-19T00:00:00"/>
    <x v="1"/>
    <x v="0"/>
    <s v="Smart TV 55&quot;"/>
    <n v="83600"/>
    <n v="53300"/>
    <n v="3"/>
    <n v="0.36199999999999999"/>
    <s v="Rohit Verma"/>
  </r>
  <r>
    <s v="ORD-008"/>
    <d v="2024-01-22T00:00:00"/>
    <x v="2"/>
    <x v="1"/>
    <s v="Microwave"/>
    <n v="36500"/>
    <n v="23300"/>
    <n v="4"/>
    <n v="0.36099999999999999"/>
    <s v="Anjali Das"/>
  </r>
  <r>
    <s v="ORD-009"/>
    <d v="2024-01-27T00:00:00"/>
    <x v="3"/>
    <x v="2"/>
    <s v="Formal Leather"/>
    <n v="27500"/>
    <n v="14200"/>
    <n v="7"/>
    <n v="0.48299999999999998"/>
    <s v="Vikram Patel"/>
  </r>
  <r>
    <s v="ORD-010"/>
    <d v="2024-01-30T00:00:00"/>
    <x v="4"/>
    <x v="3"/>
    <s v="Yoga Mat"/>
    <n v="6300"/>
    <n v="3400"/>
    <n v="5"/>
    <n v="0.45500000000000002"/>
    <s v="Deepika Menon"/>
  </r>
  <r>
    <s v="ORD-011"/>
    <d v="2024-02-02T00:00:00"/>
    <x v="0"/>
    <x v="4"/>
    <s v="Protein Powder"/>
    <n v="4700"/>
    <n v="3000"/>
    <n v="2"/>
    <n v="0.371"/>
    <s v="Arjun Sharma"/>
  </r>
  <r>
    <s v="ORD-012"/>
    <d v="2024-02-04T00:00:00"/>
    <x v="1"/>
    <x v="5"/>
    <s v="Office Chair"/>
    <n v="57900"/>
    <n v="33100"/>
    <n v="5"/>
    <n v="0.42799999999999999"/>
    <s v="Sneha Iyer"/>
  </r>
  <r>
    <s v="ORD-013"/>
    <d v="2024-02-06T00:00:00"/>
    <x v="2"/>
    <x v="0"/>
    <s v="Smart TV 55&quot;"/>
    <n v="111500"/>
    <n v="79100"/>
    <n v="4"/>
    <n v="0.29099999999999998"/>
    <s v="Karan Singh"/>
  </r>
  <r>
    <s v="ORD-014"/>
    <d v="2024-02-09T00:00:00"/>
    <x v="3"/>
    <x v="1"/>
    <s v="Microwave"/>
    <n v="45800"/>
    <n v="23600"/>
    <n v="5"/>
    <n v="0.48499999999999999"/>
    <s v="Meera Joshi"/>
  </r>
  <r>
    <s v="ORD-015"/>
    <d v="2024-02-13T00:00:00"/>
    <x v="4"/>
    <x v="2"/>
    <s v="Formal Leather"/>
    <n v="28400"/>
    <n v="16100"/>
    <n v="7"/>
    <n v="0.433"/>
    <s v="Siddharth Rao"/>
  </r>
  <r>
    <s v="ORD-016"/>
    <d v="2024-02-16T00:00:00"/>
    <x v="0"/>
    <x v="3"/>
    <s v="Yoga Mat"/>
    <n v="3500"/>
    <n v="2300"/>
    <n v="3"/>
    <n v="0.33"/>
    <s v="Priya Nair"/>
  </r>
  <r>
    <s v="ORD-017"/>
    <d v="2024-02-20T00:00:00"/>
    <x v="1"/>
    <x v="4"/>
    <s v="Protein Powder"/>
    <n v="4500"/>
    <n v="3100"/>
    <n v="2"/>
    <n v="0.32100000000000001"/>
    <s v="Rohit Verma"/>
  </r>
  <r>
    <s v="ORD-018"/>
    <d v="2024-02-23T00:00:00"/>
    <x v="2"/>
    <x v="5"/>
    <s v="Office Chair"/>
    <n v="41600"/>
    <n v="26200"/>
    <n v="4"/>
    <n v="0.371"/>
    <s v="Anjali Das"/>
  </r>
  <r>
    <s v="ORD-019"/>
    <d v="2024-02-24T00:00:00"/>
    <x v="3"/>
    <x v="0"/>
    <s v="Smart TV 55&quot;"/>
    <n v="111200"/>
    <n v="57600"/>
    <n v="4"/>
    <n v="0.48199999999999998"/>
    <s v="Vikram Patel"/>
  </r>
  <r>
    <s v="ORD-020"/>
    <d v="2024-02-28T00:00:00"/>
    <x v="4"/>
    <x v="1"/>
    <s v="Microwave"/>
    <n v="35800"/>
    <n v="18900"/>
    <n v="4"/>
    <n v="0.47299999999999998"/>
    <s v="Deepika Menon"/>
  </r>
  <r>
    <s v="ORD-021"/>
    <d v="2024-03-03T00:00:00"/>
    <x v="0"/>
    <x v="2"/>
    <s v="Formal Leather"/>
    <n v="19500"/>
    <n v="9800"/>
    <n v="5"/>
    <n v="0.499"/>
    <s v="Arjun Sharma"/>
  </r>
  <r>
    <s v="ORD-022"/>
    <d v="2024-03-06T00:00:00"/>
    <x v="1"/>
    <x v="3"/>
    <s v="Yoga Mat"/>
    <n v="6900"/>
    <n v="4100"/>
    <n v="6"/>
    <n v="0.4"/>
    <s v="Sneha Iyer"/>
  </r>
  <r>
    <s v="ORD-023"/>
    <d v="2024-03-09T00:00:00"/>
    <x v="2"/>
    <x v="4"/>
    <s v="Protein Powder"/>
    <n v="16600"/>
    <n v="11400"/>
    <n v="8"/>
    <n v="0.314"/>
    <s v="Karan Singh"/>
  </r>
  <r>
    <s v="ORD-024"/>
    <d v="2024-03-12T00:00:00"/>
    <x v="3"/>
    <x v="5"/>
    <s v="Office Chair"/>
    <n v="57200"/>
    <n v="35300"/>
    <n v="5"/>
    <n v="0.38300000000000001"/>
    <s v="Meera Joshi"/>
  </r>
  <r>
    <s v="ORD-025"/>
    <d v="2024-03-13T00:00:00"/>
    <x v="4"/>
    <x v="0"/>
    <s v="Smart TV 55&quot;"/>
    <n v="184800"/>
    <n v="88900"/>
    <n v="7"/>
    <n v="0.51900000000000002"/>
    <s v="Siddharth Rao"/>
  </r>
  <r>
    <s v="ORD-026"/>
    <d v="2024-03-16T00:00:00"/>
    <x v="0"/>
    <x v="1"/>
    <s v="Microwave"/>
    <n v="63500"/>
    <n v="45000"/>
    <n v="8"/>
    <n v="0.29099999999999998"/>
    <s v="Priya Nair"/>
  </r>
  <r>
    <s v="ORD-027"/>
    <d v="2024-03-20T00:00:00"/>
    <x v="1"/>
    <x v="2"/>
    <s v="Formal Leather"/>
    <n v="12900"/>
    <n v="6800"/>
    <n v="3"/>
    <n v="0.47"/>
    <s v="Rohit Verma"/>
  </r>
  <r>
    <s v="ORD-028"/>
    <d v="2024-03-23T00:00:00"/>
    <x v="2"/>
    <x v="3"/>
    <s v="Yoga Mat"/>
    <n v="2400"/>
    <n v="1400"/>
    <n v="2"/>
    <n v="0.42299999999999999"/>
    <s v="Anjali Das"/>
  </r>
  <r>
    <s v="ORD-029"/>
    <d v="2024-03-25T00:00:00"/>
    <x v="3"/>
    <x v="4"/>
    <s v="Protein Powder"/>
    <n v="11800"/>
    <n v="6100"/>
    <n v="5"/>
    <n v="0.48699999999999999"/>
    <s v="Vikram Patel"/>
  </r>
  <r>
    <s v="ORD-030"/>
    <d v="2024-03-29T00:00:00"/>
    <x v="4"/>
    <x v="5"/>
    <s v="Office Chair"/>
    <n v="22600"/>
    <n v="13400"/>
    <n v="2"/>
    <n v="0.40899999999999997"/>
    <s v="Deepika Menon"/>
  </r>
  <r>
    <s v="ORD-031"/>
    <d v="2024-04-01T00:00:00"/>
    <x v="0"/>
    <x v="0"/>
    <s v="Smart TV 55&quot;"/>
    <n v="151900"/>
    <n v="93600"/>
    <n v="6"/>
    <n v="0.38400000000000001"/>
    <s v="Arjun Sharma"/>
  </r>
  <r>
    <s v="ORD-032"/>
    <d v="2024-04-04T00:00:00"/>
    <x v="1"/>
    <x v="1"/>
    <s v="Microwave"/>
    <n v="9100"/>
    <n v="4600"/>
    <n v="1"/>
    <n v="0.49"/>
    <s v="Sneha Iyer"/>
  </r>
  <r>
    <s v="ORD-033"/>
    <d v="2024-04-08T00:00:00"/>
    <x v="2"/>
    <x v="2"/>
    <s v="Formal Leather"/>
    <n v="12600"/>
    <n v="8700"/>
    <n v="3"/>
    <n v="0.30599999999999999"/>
    <s v="Karan Singh"/>
  </r>
  <r>
    <s v="ORD-034"/>
    <d v="2024-04-09T00:00:00"/>
    <x v="3"/>
    <x v="3"/>
    <s v="Yoga Mat"/>
    <n v="6300"/>
    <n v="3800"/>
    <n v="5"/>
    <n v="0.40200000000000002"/>
    <s v="Meera Joshi"/>
  </r>
  <r>
    <s v="ORD-035"/>
    <d v="2024-04-14T00:00:00"/>
    <x v="4"/>
    <x v="4"/>
    <s v="Protein Powder"/>
    <n v="6500"/>
    <n v="4400"/>
    <n v="3"/>
    <n v="0.31900000000000001"/>
    <s v="Siddharth Rao"/>
  </r>
  <r>
    <s v="ORD-036"/>
    <d v="2024-04-15T00:00:00"/>
    <x v="0"/>
    <x v="5"/>
    <s v="Office Chair"/>
    <n v="11200"/>
    <n v="6800"/>
    <n v="1"/>
    <n v="0.39700000000000002"/>
    <s v="Priya Nair"/>
  </r>
  <r>
    <s v="ORD-037"/>
    <d v="2024-04-19T00:00:00"/>
    <x v="1"/>
    <x v="0"/>
    <s v="Smart TV 55&quot;"/>
    <n v="171800"/>
    <n v="89300"/>
    <n v="6"/>
    <n v="0.48"/>
    <s v="Rohit Verma"/>
  </r>
  <r>
    <s v="ORD-038"/>
    <d v="2024-04-21T00:00:00"/>
    <x v="2"/>
    <x v="1"/>
    <s v="Microwave"/>
    <n v="31600"/>
    <n v="16100"/>
    <n v="4"/>
    <n v="0.49099999999999999"/>
    <s v="Anjali Das"/>
  </r>
  <r>
    <s v="ORD-039"/>
    <d v="2024-04-26T00:00:00"/>
    <x v="3"/>
    <x v="2"/>
    <s v="Formal Leather"/>
    <n v="8700"/>
    <n v="4600"/>
    <n v="2"/>
    <n v="0.47599999999999998"/>
    <s v="Vikram Patel"/>
  </r>
  <r>
    <s v="ORD-040"/>
    <d v="2024-04-29T00:00:00"/>
    <x v="4"/>
    <x v="3"/>
    <s v="Yoga Mat"/>
    <n v="3400"/>
    <n v="2100"/>
    <n v="3"/>
    <n v="0.39400000000000002"/>
    <s v="Deepika Menon"/>
  </r>
  <r>
    <s v="ORD-041"/>
    <d v="2024-05-01T00:00:00"/>
    <x v="0"/>
    <x v="4"/>
    <s v="Protein Powder"/>
    <n v="6400"/>
    <n v="3300"/>
    <n v="3"/>
    <n v="0.48899999999999999"/>
    <s v="Arjun Sharma"/>
  </r>
  <r>
    <s v="ORD-042"/>
    <d v="2024-05-05T00:00:00"/>
    <x v="1"/>
    <x v="5"/>
    <s v="Office Chair"/>
    <n v="47000"/>
    <n v="25300"/>
    <n v="4"/>
    <n v="0.46100000000000002"/>
    <s v="Sneha Iyer"/>
  </r>
  <r>
    <s v="ORD-043"/>
    <d v="2024-05-08T00:00:00"/>
    <x v="2"/>
    <x v="0"/>
    <s v="Smart TV 55&quot;"/>
    <n v="111700"/>
    <n v="69700"/>
    <n v="4"/>
    <n v="0.376"/>
    <s v="Karan Singh"/>
  </r>
  <r>
    <s v="ORD-044"/>
    <d v="2024-05-09T00:00:00"/>
    <x v="3"/>
    <x v="1"/>
    <s v="Microwave"/>
    <n v="50500"/>
    <n v="30100"/>
    <n v="6"/>
    <n v="0.40400000000000003"/>
    <s v="Meera Joshi"/>
  </r>
  <r>
    <s v="ORD-045"/>
    <d v="2024-05-14T00:00:00"/>
    <x v="4"/>
    <x v="2"/>
    <s v="Formal Leather"/>
    <n v="16100"/>
    <n v="10300"/>
    <n v="4"/>
    <n v="0.36099999999999999"/>
    <s v="Siddharth Rao"/>
  </r>
  <r>
    <s v="ORD-046"/>
    <d v="2024-05-17T00:00:00"/>
    <x v="0"/>
    <x v="3"/>
    <s v="Yoga Mat"/>
    <n v="4900"/>
    <n v="3500"/>
    <n v="4"/>
    <n v="0.28199999999999997"/>
    <s v="Priya Nair"/>
  </r>
  <r>
    <s v="ORD-047"/>
    <d v="2024-05-19T00:00:00"/>
    <x v="1"/>
    <x v="4"/>
    <s v="Protein Powder"/>
    <n v="2100"/>
    <n v="1100"/>
    <n v="1"/>
    <n v="0.497"/>
    <s v="Rohit Verma"/>
  </r>
  <r>
    <s v="ORD-048"/>
    <d v="2024-05-22T00:00:00"/>
    <x v="2"/>
    <x v="5"/>
    <s v="Office Chair"/>
    <n v="22000"/>
    <n v="14400"/>
    <n v="2"/>
    <n v="0.34699999999999998"/>
    <s v="Anjali Das"/>
  </r>
  <r>
    <s v="ORD-049"/>
    <d v="2024-05-26T00:00:00"/>
    <x v="3"/>
    <x v="0"/>
    <s v="Smart TV 55&quot;"/>
    <n v="108700"/>
    <n v="59400"/>
    <n v="4"/>
    <n v="0.45400000000000001"/>
    <s v="Vikram Patel"/>
  </r>
  <r>
    <s v="ORD-050"/>
    <d v="2024-05-28T00:00:00"/>
    <x v="4"/>
    <x v="1"/>
    <s v="Microwave"/>
    <n v="65200"/>
    <n v="39500"/>
    <n v="8"/>
    <n v="0.39400000000000002"/>
    <s v="Deepika Menon"/>
  </r>
  <r>
    <s v="ORD-051"/>
    <d v="2024-05-31T00:00:00"/>
    <x v="0"/>
    <x v="2"/>
    <s v="Formal Leather"/>
    <n v="15700"/>
    <n v="8800"/>
    <n v="4"/>
    <n v="0.438"/>
    <s v="Arjun Sharma"/>
  </r>
  <r>
    <s v="ORD-052"/>
    <d v="2024-06-02T00:00:00"/>
    <x v="1"/>
    <x v="3"/>
    <s v="Yoga Mat"/>
    <n v="8300"/>
    <n v="4300"/>
    <n v="7"/>
    <n v="0.48699999999999999"/>
    <s v="Sneha Iyer"/>
  </r>
  <r>
    <s v="ORD-053"/>
    <d v="2024-06-05T00:00:00"/>
    <x v="2"/>
    <x v="4"/>
    <s v="Protein Powder"/>
    <n v="4100"/>
    <n v="2200"/>
    <n v="2"/>
    <n v="0.45500000000000002"/>
    <s v="Karan Singh"/>
  </r>
  <r>
    <s v="ORD-054"/>
    <d v="2024-06-08T00:00:00"/>
    <x v="3"/>
    <x v="5"/>
    <s v="Office Chair"/>
    <n v="41800"/>
    <n v="24700"/>
    <n v="4"/>
    <n v="0.40899999999999997"/>
    <s v="Meera Joshi"/>
  </r>
  <r>
    <s v="ORD-055"/>
    <d v="2024-06-11T00:00:00"/>
    <x v="4"/>
    <x v="0"/>
    <s v="Smart TV 55&quot;"/>
    <n v="179400"/>
    <n v="109300"/>
    <n v="7"/>
    <n v="0.39100000000000001"/>
    <s v="Siddharth Rao"/>
  </r>
  <r>
    <s v="ORD-056"/>
    <d v="2024-06-14T00:00:00"/>
    <x v="0"/>
    <x v="1"/>
    <s v="Microwave"/>
    <n v="71400"/>
    <n v="36800"/>
    <n v="8"/>
    <n v="0.48499999999999999"/>
    <s v="Priya Nair"/>
  </r>
  <r>
    <s v="ORD-057"/>
    <d v="2024-06-17T00:00:00"/>
    <x v="1"/>
    <x v="2"/>
    <s v="Formal Leather"/>
    <n v="4300"/>
    <n v="2500"/>
    <n v="1"/>
    <n v="0.41"/>
    <s v="Rohit Verma"/>
  </r>
  <r>
    <s v="ORD-058"/>
    <d v="2024-06-20T00:00:00"/>
    <x v="2"/>
    <x v="3"/>
    <s v="Yoga Mat"/>
    <n v="2600"/>
    <n v="1300"/>
    <n v="2"/>
    <n v="0.48399999999999999"/>
    <s v="Anjali Das"/>
  </r>
  <r>
    <s v="ORD-059"/>
    <d v="2024-06-24T00:00:00"/>
    <x v="3"/>
    <x v="4"/>
    <s v="Protein Powder"/>
    <n v="15400"/>
    <n v="10300"/>
    <n v="7"/>
    <n v="0.33100000000000002"/>
    <s v="Vikram Patel"/>
  </r>
  <r>
    <s v="ORD-060"/>
    <d v="2024-06-27T00:00:00"/>
    <x v="4"/>
    <x v="5"/>
    <s v="Office Chair"/>
    <n v="10400"/>
    <n v="7500"/>
    <n v="1"/>
    <n v="0.28100000000000003"/>
    <s v="Deepika Menon"/>
  </r>
  <r>
    <s v="ORD-061"/>
    <d v="2024-06-30T00:00:00"/>
    <x v="0"/>
    <x v="0"/>
    <s v="Smart TV 55&quot;"/>
    <n v="144200"/>
    <n v="76700"/>
    <n v="5"/>
    <n v="0.46800000000000003"/>
    <s v="Arjun Sharma"/>
  </r>
  <r>
    <s v="ORD-062"/>
    <d v="2024-07-04T00:00:00"/>
    <x v="1"/>
    <x v="1"/>
    <s v="Microwave"/>
    <n v="61400"/>
    <n v="33500"/>
    <n v="7"/>
    <n v="0.45500000000000002"/>
    <s v="Sneha Iyer"/>
  </r>
  <r>
    <s v="ORD-063"/>
    <d v="2024-07-05T00:00:00"/>
    <x v="2"/>
    <x v="2"/>
    <s v="Formal Leather"/>
    <n v="31700"/>
    <n v="20600"/>
    <n v="8"/>
    <n v="0.35099999999999998"/>
    <s v="Karan Singh"/>
  </r>
  <r>
    <s v="ORD-064"/>
    <d v="2024-07-10T00:00:00"/>
    <x v="3"/>
    <x v="3"/>
    <s v="Yoga Mat"/>
    <n v="1200"/>
    <n v="800"/>
    <n v="1"/>
    <n v="0.29399999999999998"/>
    <s v="Meera Joshi"/>
  </r>
  <r>
    <s v="ORD-065"/>
    <d v="2024-07-11T00:00:00"/>
    <x v="4"/>
    <x v="4"/>
    <s v="Protein Powder"/>
    <n v="17600"/>
    <n v="9100"/>
    <n v="8"/>
    <n v="0.48499999999999999"/>
    <s v="Siddharth Rao"/>
  </r>
  <r>
    <s v="ORD-066"/>
    <d v="2024-07-14T00:00:00"/>
    <x v="0"/>
    <x v="5"/>
    <s v="Office Chair"/>
    <n v="11800"/>
    <n v="8300"/>
    <n v="1"/>
    <n v="0.29899999999999999"/>
    <s v="Priya Nair"/>
  </r>
  <r>
    <s v="ORD-067"/>
    <d v="2024-07-17T00:00:00"/>
    <x v="1"/>
    <x v="0"/>
    <s v="Smart TV 55&quot;"/>
    <n v="54800"/>
    <n v="30600"/>
    <n v="2"/>
    <n v="0.442"/>
    <s v="Rohit Verma"/>
  </r>
  <r>
    <s v="ORD-068"/>
    <d v="2024-07-20T00:00:00"/>
    <x v="2"/>
    <x v="1"/>
    <s v="Microwave"/>
    <n v="55900"/>
    <n v="28300"/>
    <n v="7"/>
    <n v="0.49399999999999999"/>
    <s v="Anjali Das"/>
  </r>
  <r>
    <s v="ORD-069"/>
    <d v="2024-07-25T00:00:00"/>
    <x v="3"/>
    <x v="2"/>
    <s v="Formal Leather"/>
    <n v="4300"/>
    <n v="2700"/>
    <n v="1"/>
    <n v="0.38100000000000001"/>
    <s v="Vikram Patel"/>
  </r>
  <r>
    <s v="ORD-070"/>
    <d v="2024-07-28T00:00:00"/>
    <x v="4"/>
    <x v="3"/>
    <s v="Yoga Mat"/>
    <n v="7700"/>
    <n v="5200"/>
    <n v="6"/>
    <n v="0.32900000000000001"/>
    <s v="Deepika Menon"/>
  </r>
  <r>
    <s v="ORD-071"/>
    <d v="2024-07-31T00:00:00"/>
    <x v="0"/>
    <x v="4"/>
    <s v="Protein Powder"/>
    <n v="12600"/>
    <n v="7900"/>
    <n v="6"/>
    <n v="0.375"/>
    <s v="Arjun Sharma"/>
  </r>
  <r>
    <s v="ORD-072"/>
    <d v="2024-08-01T00:00:00"/>
    <x v="1"/>
    <x v="5"/>
    <s v="Office Chair"/>
    <n v="54600"/>
    <n v="27100"/>
    <n v="5"/>
    <n v="0.503"/>
    <s v="Sneha Iyer"/>
  </r>
  <r>
    <s v="ORD-073"/>
    <d v="2024-08-04T00:00:00"/>
    <x v="2"/>
    <x v="0"/>
    <s v="Smart TV 55&quot;"/>
    <n v="26800"/>
    <n v="12900"/>
    <n v="1"/>
    <n v="0.52"/>
    <s v="Karan Singh"/>
  </r>
  <r>
    <s v="ORD-074"/>
    <d v="2024-08-07T00:00:00"/>
    <x v="3"/>
    <x v="1"/>
    <s v="Microwave"/>
    <n v="17100"/>
    <n v="10200"/>
    <n v="2"/>
    <n v="0.40100000000000002"/>
    <s v="Meera Joshi"/>
  </r>
  <r>
    <s v="ORD-075"/>
    <d v="2024-08-11T00:00:00"/>
    <x v="4"/>
    <x v="2"/>
    <s v="Formal Leather"/>
    <n v="26700"/>
    <n v="13600"/>
    <n v="6"/>
    <n v="0.49099999999999999"/>
    <s v="Siddharth Rao"/>
  </r>
  <r>
    <s v="ORD-076"/>
    <d v="2024-08-15T00:00:00"/>
    <x v="0"/>
    <x v="3"/>
    <s v="Yoga Mat"/>
    <n v="5700"/>
    <n v="3000"/>
    <n v="5"/>
    <n v="0.48"/>
    <s v="Priya Nair"/>
  </r>
  <r>
    <s v="ORD-077"/>
    <d v="2024-08-18T00:00:00"/>
    <x v="1"/>
    <x v="4"/>
    <s v="Protein Powder"/>
    <n v="11200"/>
    <n v="5400"/>
    <n v="5"/>
    <n v="0.51700000000000002"/>
    <s v="Rohit Verma"/>
  </r>
  <r>
    <s v="ORD-078"/>
    <d v="2024-08-21T00:00:00"/>
    <x v="2"/>
    <x v="5"/>
    <s v="Office Chair"/>
    <n v="11300"/>
    <n v="6600"/>
    <n v="1"/>
    <n v="0.41299999999999998"/>
    <s v="Anjali Das"/>
  </r>
  <r>
    <s v="ORD-079"/>
    <d v="2024-08-22T00:00:00"/>
    <x v="3"/>
    <x v="0"/>
    <s v="Smart TV 55&quot;"/>
    <n v="57800"/>
    <n v="39800"/>
    <n v="2"/>
    <n v="0.312"/>
    <s v="Vikram Patel"/>
  </r>
  <r>
    <s v="ORD-080"/>
    <d v="2024-08-26T00:00:00"/>
    <x v="4"/>
    <x v="1"/>
    <s v="Microwave"/>
    <n v="17700"/>
    <n v="12100"/>
    <n v="2"/>
    <n v="0.317"/>
    <s v="Deepika Menon"/>
  </r>
  <r>
    <s v="ORD-081"/>
    <d v="2024-08-30T00:00:00"/>
    <x v="0"/>
    <x v="2"/>
    <s v="Formal Leather"/>
    <n v="17400"/>
    <n v="11700"/>
    <n v="4"/>
    <n v="0.32900000000000001"/>
    <s v="Arjun Sharma"/>
  </r>
  <r>
    <s v="ORD-082"/>
    <d v="2024-08-31T00:00:00"/>
    <x v="1"/>
    <x v="3"/>
    <s v="Yoga Mat"/>
    <n v="6000"/>
    <n v="4000"/>
    <n v="5"/>
    <n v="0.34"/>
    <s v="Sneha Iyer"/>
  </r>
  <r>
    <s v="ORD-083"/>
    <d v="2024-09-03T00:00:00"/>
    <x v="2"/>
    <x v="4"/>
    <s v="Protein Powder"/>
    <n v="4500"/>
    <n v="2300"/>
    <n v="2"/>
    <n v="0.47899999999999998"/>
    <s v="Karan Singh"/>
  </r>
  <r>
    <s v="ORD-084"/>
    <d v="2024-09-07T00:00:00"/>
    <x v="3"/>
    <x v="5"/>
    <s v="Office Chair"/>
    <n v="10700"/>
    <n v="7400"/>
    <n v="1"/>
    <n v="0.311"/>
    <s v="Meera Joshi"/>
  </r>
  <r>
    <s v="ORD-085"/>
    <d v="2024-09-10T00:00:00"/>
    <x v="4"/>
    <x v="0"/>
    <s v="Smart TV 55&quot;"/>
    <n v="84100"/>
    <n v="49500"/>
    <n v="3"/>
    <n v="0.41199999999999998"/>
    <s v="Siddharth Rao"/>
  </r>
  <r>
    <s v="ORD-086"/>
    <d v="2024-09-14T00:00:00"/>
    <x v="0"/>
    <x v="1"/>
    <s v="Microwave"/>
    <n v="8000"/>
    <n v="3900"/>
    <n v="1"/>
    <n v="0.50700000000000001"/>
    <s v="Priya Nair"/>
  </r>
  <r>
    <s v="ORD-087"/>
    <d v="2024-09-17T00:00:00"/>
    <x v="1"/>
    <x v="2"/>
    <s v="Formal Leather"/>
    <n v="12700"/>
    <n v="6600"/>
    <n v="3"/>
    <n v="0.48"/>
    <s v="Rohit Verma"/>
  </r>
  <r>
    <s v="ORD-088"/>
    <d v="2024-09-19T00:00:00"/>
    <x v="2"/>
    <x v="3"/>
    <s v="Yoga Mat"/>
    <n v="3600"/>
    <n v="2600"/>
    <n v="3"/>
    <n v="0.28999999999999998"/>
    <s v="Anjali Das"/>
  </r>
  <r>
    <s v="ORD-089"/>
    <d v="2024-09-21T00:00:00"/>
    <x v="3"/>
    <x v="4"/>
    <s v="Protein Powder"/>
    <n v="2300"/>
    <n v="1500"/>
    <n v="1"/>
    <n v="0.33"/>
    <s v="Vikram Patel"/>
  </r>
  <r>
    <s v="ORD-090"/>
    <d v="2024-09-25T00:00:00"/>
    <x v="4"/>
    <x v="5"/>
    <s v="Office Chair"/>
    <n v="21500"/>
    <n v="12600"/>
    <n v="2"/>
    <n v="0.41399999999999998"/>
    <s v="Deepika Menon"/>
  </r>
  <r>
    <s v="ORD-091"/>
    <d v="2024-09-27T00:00:00"/>
    <x v="0"/>
    <x v="0"/>
    <s v="Smart TV 55&quot;"/>
    <n v="86500"/>
    <n v="57300"/>
    <n v="3"/>
    <n v="0.33700000000000002"/>
    <s v="Arjun Sharma"/>
  </r>
  <r>
    <s v="ORD-092"/>
    <d v="2024-10-02T00:00:00"/>
    <x v="1"/>
    <x v="1"/>
    <s v="Microwave"/>
    <n v="27100"/>
    <n v="19300"/>
    <n v="3"/>
    <n v="0.28599999999999998"/>
    <s v="Sneha Iyer"/>
  </r>
  <r>
    <s v="ORD-093"/>
    <d v="2024-10-05T00:00:00"/>
    <x v="2"/>
    <x v="2"/>
    <s v="Formal Leather"/>
    <n v="26300"/>
    <n v="16300"/>
    <n v="6"/>
    <n v="0.379"/>
    <s v="Karan Singh"/>
  </r>
  <r>
    <s v="ORD-094"/>
    <d v="2024-10-06T00:00:00"/>
    <x v="3"/>
    <x v="3"/>
    <s v="Yoga Mat"/>
    <n v="4600"/>
    <n v="2400"/>
    <n v="4"/>
    <n v="0.46899999999999997"/>
    <s v="Meera Joshi"/>
  </r>
  <r>
    <s v="ORD-095"/>
    <d v="2024-10-09T00:00:00"/>
    <x v="4"/>
    <x v="4"/>
    <s v="Protein Powder"/>
    <n v="16300"/>
    <n v="8400"/>
    <n v="7"/>
    <n v="0.48599999999999999"/>
    <s v="Siddharth Rao"/>
  </r>
  <r>
    <s v="ORD-096"/>
    <d v="2024-10-13T00:00:00"/>
    <x v="0"/>
    <x v="5"/>
    <s v="Office Chair"/>
    <n v="46200"/>
    <n v="28200"/>
    <n v="4"/>
    <n v="0.39"/>
    <s v="Priya Nair"/>
  </r>
  <r>
    <s v="ORD-097"/>
    <d v="2024-10-16T00:00:00"/>
    <x v="1"/>
    <x v="0"/>
    <s v="Smart TV 55&quot;"/>
    <n v="103200"/>
    <n v="58000"/>
    <n v="4"/>
    <n v="0.438"/>
    <s v="Rohit Verma"/>
  </r>
  <r>
    <s v="ORD-098"/>
    <d v="2024-10-19T00:00:00"/>
    <x v="2"/>
    <x v="1"/>
    <s v="Microwave"/>
    <n v="49200"/>
    <n v="34600"/>
    <n v="6"/>
    <n v="0.29699999999999999"/>
    <s v="Anjali Das"/>
  </r>
  <r>
    <s v="ORD-099"/>
    <d v="2024-10-23T00:00:00"/>
    <x v="3"/>
    <x v="2"/>
    <s v="Formal Leather"/>
    <n v="25800"/>
    <n v="16100"/>
    <n v="6"/>
    <n v="0.376"/>
    <s v="Vikram Patel"/>
  </r>
  <r>
    <s v="ORD-100"/>
    <d v="2024-10-25T00:00:00"/>
    <x v="4"/>
    <x v="3"/>
    <s v="Yoga Mat"/>
    <n v="7700"/>
    <n v="5300"/>
    <n v="6"/>
    <n v="0.308"/>
    <s v="Deepika Menon"/>
  </r>
  <r>
    <s v="ORD-101"/>
    <d v="2024-10-27T00:00:00"/>
    <x v="0"/>
    <x v="4"/>
    <s v="Protein Powder"/>
    <n v="6700"/>
    <n v="3200"/>
    <n v="3"/>
    <n v="0.51600000000000001"/>
    <s v="Arjun Sharma"/>
  </r>
  <r>
    <s v="ORD-102"/>
    <d v="2024-10-31T00:00:00"/>
    <x v="1"/>
    <x v="5"/>
    <s v="Office Chair"/>
    <n v="22300"/>
    <n v="14200"/>
    <n v="2"/>
    <n v="0.36299999999999999"/>
    <s v="Sneha Iyer"/>
  </r>
  <r>
    <s v="ORD-103"/>
    <d v="2024-11-03T00:00:00"/>
    <x v="2"/>
    <x v="0"/>
    <s v="Smart TV 55&quot;"/>
    <n v="192200"/>
    <n v="114700"/>
    <n v="7"/>
    <n v="0.40300000000000002"/>
    <s v="Karan Singh"/>
  </r>
  <r>
    <s v="ORD-104"/>
    <d v="2024-11-05T00:00:00"/>
    <x v="3"/>
    <x v="1"/>
    <s v="Microwave"/>
    <n v="32700"/>
    <n v="18000"/>
    <n v="4"/>
    <n v="0.45"/>
    <s v="Meera Joshi"/>
  </r>
  <r>
    <s v="ORD-105"/>
    <d v="2024-11-10T00:00:00"/>
    <x v="4"/>
    <x v="2"/>
    <s v="Formal Leather"/>
    <n v="16400"/>
    <n v="11500"/>
    <n v="4"/>
    <n v="0.29699999999999999"/>
    <s v="Siddharth Rao"/>
  </r>
  <r>
    <s v="ORD-106"/>
    <d v="2024-11-11T00:00:00"/>
    <x v="0"/>
    <x v="3"/>
    <s v="Yoga Mat"/>
    <n v="7300"/>
    <n v="4100"/>
    <n v="6"/>
    <n v="0.439"/>
    <s v="Priya Nair"/>
  </r>
  <r>
    <s v="ORD-107"/>
    <d v="2024-11-15T00:00:00"/>
    <x v="1"/>
    <x v="4"/>
    <s v="Protein Powder"/>
    <n v="11000"/>
    <n v="6200"/>
    <n v="5"/>
    <n v="0.44"/>
    <s v="Rohit Verma"/>
  </r>
  <r>
    <s v="ORD-108"/>
    <d v="2024-11-17T00:00:00"/>
    <x v="2"/>
    <x v="5"/>
    <s v="Office Chair"/>
    <n v="79400"/>
    <n v="46600"/>
    <n v="7"/>
    <n v="0.41299999999999998"/>
    <s v="Anjali Das"/>
  </r>
  <r>
    <s v="ORD-109"/>
    <d v="2024-11-22T00:00:00"/>
    <x v="3"/>
    <x v="0"/>
    <s v="Smart TV 55&quot;"/>
    <n v="194000"/>
    <n v="122000"/>
    <n v="7"/>
    <n v="0.371"/>
    <s v="Vikram Patel"/>
  </r>
  <r>
    <s v="ORD-110"/>
    <d v="2024-11-25T00:00:00"/>
    <x v="4"/>
    <x v="1"/>
    <s v="Microwave"/>
    <n v="26000"/>
    <n v="16800"/>
    <n v="3"/>
    <n v="0.35199999999999998"/>
    <s v="Deepika Menon"/>
  </r>
  <r>
    <s v="ORD-111"/>
    <d v="2024-11-28T00:00:00"/>
    <x v="0"/>
    <x v="2"/>
    <s v="Formal Leather"/>
    <n v="4100"/>
    <n v="2700"/>
    <n v="1"/>
    <n v="0.33"/>
    <s v="Arjun Sharma"/>
  </r>
  <r>
    <s v="ORD-112"/>
    <d v="2024-11-29T00:00:00"/>
    <x v="1"/>
    <x v="3"/>
    <s v="Yoga Mat"/>
    <n v="7200"/>
    <n v="4400"/>
    <n v="6"/>
    <n v="0.38600000000000001"/>
    <s v="Sneha Iyer"/>
  </r>
  <r>
    <s v="ORD-113"/>
    <d v="2024-12-04T00:00:00"/>
    <x v="2"/>
    <x v="4"/>
    <s v="Protein Powder"/>
    <n v="18400"/>
    <n v="9000"/>
    <n v="8"/>
    <n v="0.51"/>
    <s v="Karan Singh"/>
  </r>
  <r>
    <s v="ORD-114"/>
    <d v="2024-12-07T00:00:00"/>
    <x v="3"/>
    <x v="5"/>
    <s v="Office Chair"/>
    <n v="33800"/>
    <n v="22000"/>
    <n v="3"/>
    <n v="0.34799999999999998"/>
    <s v="Meera Joshi"/>
  </r>
  <r>
    <s v="ORD-115"/>
    <d v="2024-12-08T00:00:00"/>
    <x v="4"/>
    <x v="0"/>
    <s v="Smart TV 55&quot;"/>
    <n v="151500"/>
    <n v="74500"/>
    <n v="6"/>
    <n v="0.50800000000000001"/>
    <s v="Siddharth Rao"/>
  </r>
  <r>
    <s v="ORD-116"/>
    <d v="2024-12-11T00:00:00"/>
    <x v="0"/>
    <x v="1"/>
    <s v="Microwave"/>
    <n v="40600"/>
    <n v="27300"/>
    <n v="5"/>
    <n v="0.32800000000000001"/>
    <s v="Priya Nair"/>
  </r>
  <r>
    <s v="ORD-117"/>
    <d v="2024-12-14T00:00:00"/>
    <x v="1"/>
    <x v="2"/>
    <s v="Formal Leather"/>
    <n v="4000"/>
    <n v="2400"/>
    <n v="1"/>
    <n v="0.39400000000000002"/>
    <s v="Rohit Verma"/>
  </r>
  <r>
    <s v="ORD-118"/>
    <d v="2024-12-17T00:00:00"/>
    <x v="2"/>
    <x v="3"/>
    <s v="Yoga Mat"/>
    <n v="9500"/>
    <n v="5400"/>
    <n v="8"/>
    <n v="0.43099999999999999"/>
    <s v="Anjali Das"/>
  </r>
  <r>
    <s v="ORD-119"/>
    <d v="2024-12-22T00:00:00"/>
    <x v="3"/>
    <x v="4"/>
    <s v="Protein Powder"/>
    <n v="15400"/>
    <n v="10200"/>
    <n v="7"/>
    <n v="0.33900000000000002"/>
    <s v="Vikram Patel"/>
  </r>
  <r>
    <s v="ORD-120"/>
    <d v="2024-12-23T00:00:00"/>
    <x v="4"/>
    <x v="5"/>
    <s v="Office Chair"/>
    <n v="11700"/>
    <n v="6000"/>
    <n v="1"/>
    <n v="0.48699999999999999"/>
    <s v="Deepika Menon"/>
  </r>
  <r>
    <s v="ORD-121"/>
    <d v="2024-12-28T00:00:00"/>
    <x v="0"/>
    <x v="0"/>
    <s v="Smart TV 55&quot;"/>
    <n v="180500"/>
    <n v="95100"/>
    <n v="7"/>
    <n v="0.47299999999999998"/>
    <s v="Arjun Sharma"/>
  </r>
  <r>
    <s v="ORD-122"/>
    <d v="2024-12-29T00:00:00"/>
    <x v="1"/>
    <x v="1"/>
    <s v="Microwave"/>
    <n v="63100"/>
    <n v="41600"/>
    <n v="8"/>
    <n v="0.34"/>
    <s v="Sneha Iyer"/>
  </r>
  <r>
    <s v="ORD-123"/>
    <d v="2025-01-03T00:00:00"/>
    <x v="2"/>
    <x v="2"/>
    <s v="Formal Leather"/>
    <n v="31600"/>
    <n v="19200"/>
    <n v="8"/>
    <n v="0.39200000000000002"/>
    <s v="Karan Singh"/>
  </r>
  <r>
    <s v="ORD-124"/>
    <d v="2025-01-06T00:00:00"/>
    <x v="3"/>
    <x v="3"/>
    <s v="Yoga Mat"/>
    <n v="7700"/>
    <n v="3900"/>
    <n v="6"/>
    <n v="0.49399999999999999"/>
    <s v="Meera Joshi"/>
  </r>
  <r>
    <s v="ORD-125"/>
    <d v="2025-01-07T00:00:00"/>
    <x v="4"/>
    <x v="4"/>
    <s v="Protein Powder"/>
    <n v="16200"/>
    <n v="9500"/>
    <n v="7"/>
    <n v="0.41099999999999998"/>
    <s v="Siddharth Rao"/>
  </r>
  <r>
    <s v="ORD-126"/>
    <d v="2025-01-12T00:00:00"/>
    <x v="0"/>
    <x v="5"/>
    <s v="Office Chair"/>
    <n v="87300"/>
    <n v="47100"/>
    <n v="8"/>
    <n v="0.46"/>
    <s v="Priya Nair"/>
  </r>
  <r>
    <s v="ORD-127"/>
    <d v="2025-01-15T00:00:00"/>
    <x v="1"/>
    <x v="0"/>
    <s v="Smart TV 55&quot;"/>
    <n v="140700"/>
    <n v="83700"/>
    <n v="5"/>
    <n v="0.40500000000000003"/>
    <s v="Rohit Verma"/>
  </r>
  <r>
    <s v="ORD-128"/>
    <d v="2025-01-17T00:00:00"/>
    <x v="2"/>
    <x v="1"/>
    <s v="Microwave"/>
    <n v="32800"/>
    <n v="23000"/>
    <n v="4"/>
    <n v="0.29899999999999999"/>
    <s v="Anjali Das"/>
  </r>
  <r>
    <s v="ORD-129"/>
    <d v="2025-01-21T00:00:00"/>
    <x v="3"/>
    <x v="2"/>
    <s v="Formal Leather"/>
    <n v="16200"/>
    <n v="10400"/>
    <n v="4"/>
    <n v="0.35699999999999998"/>
    <s v="Vikram Patel"/>
  </r>
  <r>
    <s v="ORD-130"/>
    <d v="2025-01-24T00:00:00"/>
    <x v="4"/>
    <x v="3"/>
    <s v="Yoga Mat"/>
    <n v="2300"/>
    <n v="1500"/>
    <n v="2"/>
    <n v="0.33600000000000002"/>
    <s v="Deepika Menon"/>
  </r>
  <r>
    <s v="ORD-131"/>
    <d v="2025-01-26T00:00:00"/>
    <x v="0"/>
    <x v="4"/>
    <s v="Protein Powder"/>
    <n v="6800"/>
    <n v="4800"/>
    <n v="3"/>
    <n v="0.29499999999999998"/>
    <s v="Arjun Sharma"/>
  </r>
  <r>
    <s v="ORD-132"/>
    <d v="2025-01-28T00:00:00"/>
    <x v="1"/>
    <x v="5"/>
    <s v="Office Chair"/>
    <n v="66400"/>
    <n v="41200"/>
    <n v="6"/>
    <n v="0.38"/>
    <s v="Sneha Iyer"/>
  </r>
  <r>
    <s v="ORD-133"/>
    <d v="2025-02-02T00:00:00"/>
    <x v="2"/>
    <x v="0"/>
    <s v="Smart TV 55&quot;"/>
    <n v="185700"/>
    <n v="99300"/>
    <n v="7"/>
    <n v="0.46500000000000002"/>
    <s v="Karan Singh"/>
  </r>
  <r>
    <s v="ORD-134"/>
    <d v="2025-02-04T00:00:00"/>
    <x v="3"/>
    <x v="1"/>
    <s v="Microwave"/>
    <n v="9000"/>
    <n v="4800"/>
    <n v="1"/>
    <n v="0.46400000000000002"/>
    <s v="Meera Joshi"/>
  </r>
  <r>
    <s v="ORD-135"/>
    <d v="2025-02-07T00:00:00"/>
    <x v="4"/>
    <x v="2"/>
    <s v="Formal Leather"/>
    <n v="30900"/>
    <n v="19700"/>
    <n v="8"/>
    <n v="0.36399999999999999"/>
    <s v="Siddharth Rao"/>
  </r>
  <r>
    <s v="ORD-136"/>
    <d v="2025-02-11T00:00:00"/>
    <x v="0"/>
    <x v="3"/>
    <s v="Yoga Mat"/>
    <n v="8500"/>
    <n v="4600"/>
    <n v="7"/>
    <n v="0.45600000000000002"/>
    <s v="Priya Nair"/>
  </r>
  <r>
    <s v="ORD-137"/>
    <d v="2025-02-13T00:00:00"/>
    <x v="1"/>
    <x v="4"/>
    <s v="Protein Powder"/>
    <n v="8800"/>
    <n v="5800"/>
    <n v="4"/>
    <n v="0.34599999999999997"/>
    <s v="Rohit Verma"/>
  </r>
  <r>
    <s v="ORD-138"/>
    <d v="2025-02-16T00:00:00"/>
    <x v="2"/>
    <x v="5"/>
    <s v="Office Chair"/>
    <n v="10800"/>
    <n v="6000"/>
    <n v="1"/>
    <n v="0.441"/>
    <s v="Anjali Das"/>
  </r>
  <r>
    <s v="ORD-139"/>
    <d v="2025-02-20T00:00:00"/>
    <x v="3"/>
    <x v="0"/>
    <s v="Smart TV 55&quot;"/>
    <n v="85400"/>
    <n v="42600"/>
    <n v="3"/>
    <n v="0.501"/>
    <s v="Vikram Patel"/>
  </r>
  <r>
    <s v="ORD-140"/>
    <d v="2025-02-23T00:00:00"/>
    <x v="4"/>
    <x v="1"/>
    <s v="Microwave"/>
    <n v="9100"/>
    <n v="5300"/>
    <n v="1"/>
    <n v="0.42199999999999999"/>
    <s v="Deepika Menon"/>
  </r>
  <r>
    <s v="ORD-141"/>
    <d v="2025-02-25T00:00:00"/>
    <x v="0"/>
    <x v="2"/>
    <s v="Formal Leather"/>
    <n v="3900"/>
    <n v="2400"/>
    <n v="1"/>
    <n v="0.38300000000000001"/>
    <s v="Arjun Sharma"/>
  </r>
  <r>
    <s v="ORD-142"/>
    <d v="2025-02-27T00:00:00"/>
    <x v="1"/>
    <x v="3"/>
    <s v="Yoga Mat"/>
    <n v="3300"/>
    <n v="2100"/>
    <n v="3"/>
    <n v="0.371"/>
    <s v="Sneha Iyer"/>
  </r>
  <r>
    <s v="ORD-143"/>
    <d v="2025-03-03T00:00:00"/>
    <x v="2"/>
    <x v="4"/>
    <s v="Protein Powder"/>
    <n v="17100"/>
    <n v="9200"/>
    <n v="8"/>
    <n v="0.46300000000000002"/>
    <s v="Karan Singh"/>
  </r>
  <r>
    <s v="ORD-144"/>
    <d v="2025-03-06T00:00:00"/>
    <x v="3"/>
    <x v="5"/>
    <s v="Office Chair"/>
    <n v="57200"/>
    <n v="29700"/>
    <n v="5"/>
    <n v="0.48"/>
    <s v="Meera Joshi"/>
  </r>
  <r>
    <s v="ORD-145"/>
    <d v="2025-03-08T00:00:00"/>
    <x v="4"/>
    <x v="0"/>
    <s v="Smart TV 55&quot;"/>
    <n v="53700"/>
    <n v="29000"/>
    <n v="2"/>
    <n v="0.46"/>
    <s v="Siddharth Rao"/>
  </r>
  <r>
    <s v="ORD-146"/>
    <d v="2025-03-13T00:00:00"/>
    <x v="0"/>
    <x v="1"/>
    <s v="Microwave"/>
    <n v="48700"/>
    <n v="34300"/>
    <n v="6"/>
    <n v="0.29599999999999999"/>
    <s v="Priya Nair"/>
  </r>
  <r>
    <s v="ORD-147"/>
    <d v="2025-03-14T00:00:00"/>
    <x v="1"/>
    <x v="2"/>
    <s v="Formal Leather"/>
    <n v="4400"/>
    <n v="2200"/>
    <n v="1"/>
    <n v="0.50800000000000001"/>
    <s v="Rohit Verma"/>
  </r>
  <r>
    <s v="ORD-148"/>
    <d v="2025-03-18T00:00:00"/>
    <x v="2"/>
    <x v="3"/>
    <s v="Yoga Mat"/>
    <n v="1200"/>
    <n v="800"/>
    <n v="1"/>
    <n v="0.33700000000000002"/>
    <s v="Anjali Das"/>
  </r>
  <r>
    <s v="ORD-149"/>
    <d v="2025-03-22T00:00:00"/>
    <x v="3"/>
    <x v="4"/>
    <s v="Protein Powder"/>
    <n v="4400"/>
    <n v="2900"/>
    <n v="2"/>
    <n v="0.33200000000000002"/>
    <s v="Vikram Patel"/>
  </r>
  <r>
    <s v="ORD-150"/>
    <d v="2025-03-25T00:00:00"/>
    <x v="4"/>
    <x v="5"/>
    <s v="Office Chair"/>
    <n v="57300"/>
    <n v="39000"/>
    <n v="5"/>
    <n v="0.32"/>
    <s v="Deepika Meno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CA0E47-DDE6-4E89-BD09-5787342AE31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10" firstHeaderRow="1" firstDataRow="2" firstDataCol="1"/>
  <pivotFields count="10">
    <pivotField showAll="0"/>
    <pivotField numFmtId="164" showAll="0"/>
    <pivotField axis="axisRow" showAll="0">
      <items count="6">
        <item x="4"/>
        <item x="2"/>
        <item x="0"/>
        <item x="1"/>
        <item x="3"/>
        <item t="default"/>
      </items>
    </pivotField>
    <pivotField axis="axisCol" showAll="0">
      <items count="7">
        <item x="1"/>
        <item x="0"/>
        <item x="3"/>
        <item x="2"/>
        <item x="5"/>
        <item x="4"/>
        <item t="default"/>
      </items>
    </pivotField>
    <pivotField showAll="0"/>
    <pivotField dataField="1" numFmtId="3" showAll="0"/>
    <pivotField numFmtId="3" showAll="0"/>
    <pivotField showAll="0"/>
    <pivotField numFmtId="165"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Revenue (₹)" fld="5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AF7C5-3A20-49D3-87D9-D9005B126B48}">
  <dimension ref="A3:H10"/>
  <sheetViews>
    <sheetView workbookViewId="0">
      <selection activeCell="A3" sqref="A3"/>
    </sheetView>
  </sheetViews>
  <sheetFormatPr defaultRowHeight="14.4" x14ac:dyDescent="0.3"/>
  <cols>
    <col min="1" max="1" width="17.77734375" bestFit="1" customWidth="1"/>
    <col min="2" max="2" width="15.5546875" bestFit="1" customWidth="1"/>
    <col min="3" max="3" width="10" bestFit="1" customWidth="1"/>
    <col min="4" max="4" width="8.109375" bestFit="1" customWidth="1"/>
    <col min="6" max="6" width="8.6640625" bestFit="1" customWidth="1"/>
    <col min="7" max="7" width="8.5546875" bestFit="1" customWidth="1"/>
    <col min="8" max="8" width="10.77734375" bestFit="1" customWidth="1"/>
  </cols>
  <sheetData>
    <row r="3" spans="1:8" x14ac:dyDescent="0.3">
      <c r="A3" s="75" t="s">
        <v>391</v>
      </c>
      <c r="B3" s="75" t="s">
        <v>392</v>
      </c>
    </row>
    <row r="4" spans="1:8" x14ac:dyDescent="0.3">
      <c r="A4" s="75" t="s">
        <v>389</v>
      </c>
      <c r="B4" t="s">
        <v>19</v>
      </c>
      <c r="C4" t="s">
        <v>14</v>
      </c>
      <c r="D4" t="s">
        <v>29</v>
      </c>
      <c r="E4" t="s">
        <v>24</v>
      </c>
      <c r="F4" t="s">
        <v>38</v>
      </c>
      <c r="G4" t="s">
        <v>34</v>
      </c>
      <c r="H4" t="s">
        <v>390</v>
      </c>
    </row>
    <row r="5" spans="1:8" x14ac:dyDescent="0.3">
      <c r="A5" s="76" t="s">
        <v>33</v>
      </c>
      <c r="B5" s="77">
        <v>153800</v>
      </c>
      <c r="C5" s="77">
        <v>653500</v>
      </c>
      <c r="D5" s="77">
        <v>27400</v>
      </c>
      <c r="E5" s="77">
        <v>118500</v>
      </c>
      <c r="F5" s="77">
        <v>123500</v>
      </c>
      <c r="G5" s="77">
        <v>65700</v>
      </c>
      <c r="H5" s="77">
        <v>1142400</v>
      </c>
    </row>
    <row r="6" spans="1:8" x14ac:dyDescent="0.3">
      <c r="A6" s="76" t="s">
        <v>23</v>
      </c>
      <c r="B6" s="77">
        <v>206000</v>
      </c>
      <c r="C6" s="77">
        <v>627900</v>
      </c>
      <c r="D6" s="77">
        <v>19300</v>
      </c>
      <c r="E6" s="77">
        <v>110700</v>
      </c>
      <c r="F6" s="77">
        <v>165100</v>
      </c>
      <c r="G6" s="77">
        <v>60700</v>
      </c>
      <c r="H6" s="77">
        <v>1189700</v>
      </c>
    </row>
    <row r="7" spans="1:8" x14ac:dyDescent="0.3">
      <c r="A7" s="76" t="s">
        <v>13</v>
      </c>
      <c r="B7" s="77">
        <v>232200</v>
      </c>
      <c r="C7" s="77">
        <v>613000</v>
      </c>
      <c r="D7" s="77">
        <v>29900</v>
      </c>
      <c r="E7" s="77">
        <v>60600</v>
      </c>
      <c r="F7" s="77">
        <v>200100</v>
      </c>
      <c r="G7" s="77">
        <v>37200</v>
      </c>
      <c r="H7" s="77">
        <v>1173000</v>
      </c>
    </row>
    <row r="8" spans="1:8" x14ac:dyDescent="0.3">
      <c r="A8" s="76" t="s">
        <v>18</v>
      </c>
      <c r="B8" s="77">
        <v>187200</v>
      </c>
      <c r="C8" s="77">
        <v>554100</v>
      </c>
      <c r="D8" s="77">
        <v>31700</v>
      </c>
      <c r="E8" s="77">
        <v>38300</v>
      </c>
      <c r="F8" s="77">
        <v>248200</v>
      </c>
      <c r="G8" s="77">
        <v>37600</v>
      </c>
      <c r="H8" s="77">
        <v>1097100</v>
      </c>
    </row>
    <row r="9" spans="1:8" x14ac:dyDescent="0.3">
      <c r="A9" s="76" t="s">
        <v>28</v>
      </c>
      <c r="B9" s="77">
        <v>155100</v>
      </c>
      <c r="C9" s="77">
        <v>557100</v>
      </c>
      <c r="D9" s="77">
        <v>24400</v>
      </c>
      <c r="E9" s="77">
        <v>82500</v>
      </c>
      <c r="F9" s="77">
        <v>200700</v>
      </c>
      <c r="G9" s="77">
        <v>49300</v>
      </c>
      <c r="H9" s="77">
        <v>1069100</v>
      </c>
    </row>
    <row r="10" spans="1:8" x14ac:dyDescent="0.3">
      <c r="A10" s="76" t="s">
        <v>390</v>
      </c>
      <c r="B10" s="77">
        <v>934300</v>
      </c>
      <c r="C10" s="77">
        <v>3005600</v>
      </c>
      <c r="D10" s="77">
        <v>132700</v>
      </c>
      <c r="E10" s="77">
        <v>410600</v>
      </c>
      <c r="F10" s="77">
        <v>937600</v>
      </c>
      <c r="G10" s="77">
        <v>250500</v>
      </c>
      <c r="H10" s="77">
        <v>5671300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1:K153"/>
  <sheetViews>
    <sheetView zoomScaleNormal="100" workbookViewId="0">
      <pane xSplit="1" ySplit="3" topLeftCell="B133" activePane="bottomRight" state="frozen"/>
      <selection pane="topRight" activeCell="B1" sqref="B1"/>
      <selection pane="bottomLeft" activeCell="A4" sqref="A4"/>
      <selection pane="bottomRight" activeCell="B3" sqref="B3:K153"/>
    </sheetView>
  </sheetViews>
  <sheetFormatPr defaultColWidth="8.6640625" defaultRowHeight="14.4" x14ac:dyDescent="0.3"/>
  <cols>
    <col min="1" max="1" width="2" customWidth="1"/>
    <col min="2" max="3" width="12" customWidth="1"/>
    <col min="4" max="4" width="14" customWidth="1"/>
    <col min="5" max="6" width="18" customWidth="1"/>
    <col min="7" max="7" width="14" customWidth="1"/>
    <col min="8" max="8" width="12" customWidth="1"/>
    <col min="9" max="10" width="10" customWidth="1"/>
    <col min="11" max="11" width="11" customWidth="1"/>
  </cols>
  <sheetData>
    <row r="1" spans="2:11" ht="30" customHeight="1" x14ac:dyDescent="0.3">
      <c r="B1" s="99" t="s">
        <v>0</v>
      </c>
      <c r="C1" s="99"/>
      <c r="D1" s="99"/>
      <c r="E1" s="99"/>
      <c r="F1" s="99"/>
      <c r="G1" s="99"/>
      <c r="H1" s="99"/>
      <c r="I1" s="99"/>
      <c r="J1" s="99"/>
    </row>
    <row r="2" spans="2:11" ht="18" customHeight="1" x14ac:dyDescent="0.3">
      <c r="B2" s="79" t="s">
        <v>1</v>
      </c>
      <c r="C2" s="79"/>
      <c r="D2" s="79"/>
      <c r="E2" s="79"/>
      <c r="F2" s="79"/>
      <c r="G2" s="79"/>
      <c r="H2" s="79"/>
      <c r="I2" s="79"/>
      <c r="J2" s="79"/>
    </row>
    <row r="3" spans="2:11" ht="21.75" customHeight="1" x14ac:dyDescent="0.3"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</row>
    <row r="4" spans="2:11" ht="15" customHeight="1" x14ac:dyDescent="0.3">
      <c r="B4" s="2" t="s">
        <v>12</v>
      </c>
      <c r="C4" s="3">
        <v>45292</v>
      </c>
      <c r="D4" s="4" t="s">
        <v>13</v>
      </c>
      <c r="E4" s="4" t="s">
        <v>14</v>
      </c>
      <c r="F4" s="4" t="s">
        <v>15</v>
      </c>
      <c r="G4" s="5">
        <v>49900</v>
      </c>
      <c r="H4" s="5">
        <v>32600</v>
      </c>
      <c r="I4" s="4">
        <v>2</v>
      </c>
      <c r="J4" s="6">
        <v>0.34599999999999997</v>
      </c>
      <c r="K4" s="4" t="s">
        <v>16</v>
      </c>
    </row>
    <row r="5" spans="2:11" ht="15" customHeight="1" x14ac:dyDescent="0.3">
      <c r="B5" s="7" t="s">
        <v>17</v>
      </c>
      <c r="C5" s="8">
        <v>45297</v>
      </c>
      <c r="D5" s="9" t="s">
        <v>18</v>
      </c>
      <c r="E5" s="9" t="s">
        <v>19</v>
      </c>
      <c r="F5" s="9" t="s">
        <v>20</v>
      </c>
      <c r="G5" s="10">
        <v>26500</v>
      </c>
      <c r="H5" s="10">
        <v>14800</v>
      </c>
      <c r="I5" s="9">
        <v>3</v>
      </c>
      <c r="J5" s="11">
        <v>0.442</v>
      </c>
      <c r="K5" s="9" t="s">
        <v>21</v>
      </c>
    </row>
    <row r="6" spans="2:11" ht="15" customHeight="1" x14ac:dyDescent="0.3">
      <c r="B6" s="2" t="s">
        <v>22</v>
      </c>
      <c r="C6" s="3">
        <v>45298</v>
      </c>
      <c r="D6" s="4" t="s">
        <v>23</v>
      </c>
      <c r="E6" s="4" t="s">
        <v>24</v>
      </c>
      <c r="F6" s="4" t="s">
        <v>25</v>
      </c>
      <c r="G6" s="5">
        <v>8500</v>
      </c>
      <c r="H6" s="5">
        <v>6100</v>
      </c>
      <c r="I6" s="4">
        <v>2</v>
      </c>
      <c r="J6" s="6">
        <v>0.28799999999999998</v>
      </c>
      <c r="K6" s="4" t="s">
        <v>26</v>
      </c>
    </row>
    <row r="7" spans="2:11" ht="15" customHeight="1" x14ac:dyDescent="0.3">
      <c r="B7" s="7" t="s">
        <v>27</v>
      </c>
      <c r="C7" s="8">
        <v>45303</v>
      </c>
      <c r="D7" s="9" t="s">
        <v>28</v>
      </c>
      <c r="E7" s="9" t="s">
        <v>29</v>
      </c>
      <c r="F7" s="9" t="s">
        <v>30</v>
      </c>
      <c r="G7" s="10">
        <v>4600</v>
      </c>
      <c r="H7" s="10">
        <v>2600</v>
      </c>
      <c r="I7" s="9">
        <v>4</v>
      </c>
      <c r="J7" s="11">
        <v>0.42399999999999999</v>
      </c>
      <c r="K7" s="9" t="s">
        <v>31</v>
      </c>
    </row>
    <row r="8" spans="2:11" ht="15" customHeight="1" x14ac:dyDescent="0.3">
      <c r="B8" s="2" t="s">
        <v>32</v>
      </c>
      <c r="C8" s="3">
        <v>45305</v>
      </c>
      <c r="D8" s="4" t="s">
        <v>33</v>
      </c>
      <c r="E8" s="4" t="s">
        <v>34</v>
      </c>
      <c r="F8" s="4" t="s">
        <v>35</v>
      </c>
      <c r="G8" s="5">
        <v>9100</v>
      </c>
      <c r="H8" s="5">
        <v>5000</v>
      </c>
      <c r="I8" s="4">
        <v>4</v>
      </c>
      <c r="J8" s="6">
        <v>0.44800000000000001</v>
      </c>
      <c r="K8" s="4" t="s">
        <v>36</v>
      </c>
    </row>
    <row r="9" spans="2:11" ht="15" customHeight="1" x14ac:dyDescent="0.3">
      <c r="B9" s="7" t="s">
        <v>37</v>
      </c>
      <c r="C9" s="8">
        <v>45307</v>
      </c>
      <c r="D9" s="9" t="s">
        <v>13</v>
      </c>
      <c r="E9" s="9" t="s">
        <v>38</v>
      </c>
      <c r="F9" s="9" t="s">
        <v>39</v>
      </c>
      <c r="G9" s="10">
        <v>43600</v>
      </c>
      <c r="H9" s="10">
        <v>28500</v>
      </c>
      <c r="I9" s="9">
        <v>4</v>
      </c>
      <c r="J9" s="11">
        <v>0.34699999999999998</v>
      </c>
      <c r="K9" s="9" t="s">
        <v>40</v>
      </c>
    </row>
    <row r="10" spans="2:11" ht="15" customHeight="1" x14ac:dyDescent="0.3">
      <c r="B10" s="2" t="s">
        <v>41</v>
      </c>
      <c r="C10" s="3">
        <v>45310</v>
      </c>
      <c r="D10" s="4" t="s">
        <v>18</v>
      </c>
      <c r="E10" s="4" t="s">
        <v>14</v>
      </c>
      <c r="F10" s="4" t="s">
        <v>15</v>
      </c>
      <c r="G10" s="5">
        <v>83600</v>
      </c>
      <c r="H10" s="5">
        <v>53300</v>
      </c>
      <c r="I10" s="4">
        <v>3</v>
      </c>
      <c r="J10" s="6">
        <v>0.36199999999999999</v>
      </c>
      <c r="K10" s="4" t="s">
        <v>42</v>
      </c>
    </row>
    <row r="11" spans="2:11" ht="15" customHeight="1" x14ac:dyDescent="0.3">
      <c r="B11" s="7" t="s">
        <v>43</v>
      </c>
      <c r="C11" s="8">
        <v>45313</v>
      </c>
      <c r="D11" s="9" t="s">
        <v>23</v>
      </c>
      <c r="E11" s="9" t="s">
        <v>19</v>
      </c>
      <c r="F11" s="9" t="s">
        <v>20</v>
      </c>
      <c r="G11" s="10">
        <v>36500</v>
      </c>
      <c r="H11" s="10">
        <v>23300</v>
      </c>
      <c r="I11" s="9">
        <v>4</v>
      </c>
      <c r="J11" s="11">
        <v>0.36099999999999999</v>
      </c>
      <c r="K11" s="9" t="s">
        <v>44</v>
      </c>
    </row>
    <row r="12" spans="2:11" ht="15" customHeight="1" x14ac:dyDescent="0.3">
      <c r="B12" s="2" t="s">
        <v>45</v>
      </c>
      <c r="C12" s="3">
        <v>45318</v>
      </c>
      <c r="D12" s="4" t="s">
        <v>28</v>
      </c>
      <c r="E12" s="4" t="s">
        <v>24</v>
      </c>
      <c r="F12" s="4" t="s">
        <v>25</v>
      </c>
      <c r="G12" s="5">
        <v>27500</v>
      </c>
      <c r="H12" s="5">
        <v>14200</v>
      </c>
      <c r="I12" s="4">
        <v>7</v>
      </c>
      <c r="J12" s="6">
        <v>0.48299999999999998</v>
      </c>
      <c r="K12" s="4" t="s">
        <v>46</v>
      </c>
    </row>
    <row r="13" spans="2:11" ht="15" customHeight="1" x14ac:dyDescent="0.3">
      <c r="B13" s="7" t="s">
        <v>47</v>
      </c>
      <c r="C13" s="8">
        <v>45321</v>
      </c>
      <c r="D13" s="9" t="s">
        <v>33</v>
      </c>
      <c r="E13" s="9" t="s">
        <v>29</v>
      </c>
      <c r="F13" s="9" t="s">
        <v>30</v>
      </c>
      <c r="G13" s="10">
        <v>6300</v>
      </c>
      <c r="H13" s="10">
        <v>3400</v>
      </c>
      <c r="I13" s="9">
        <v>5</v>
      </c>
      <c r="J13" s="11">
        <v>0.45500000000000002</v>
      </c>
      <c r="K13" s="9" t="s">
        <v>48</v>
      </c>
    </row>
    <row r="14" spans="2:11" ht="15" customHeight="1" x14ac:dyDescent="0.3">
      <c r="B14" s="2" t="s">
        <v>49</v>
      </c>
      <c r="C14" s="3">
        <v>45324</v>
      </c>
      <c r="D14" s="4" t="s">
        <v>13</v>
      </c>
      <c r="E14" s="4" t="s">
        <v>34</v>
      </c>
      <c r="F14" s="4" t="s">
        <v>35</v>
      </c>
      <c r="G14" s="5">
        <v>4700</v>
      </c>
      <c r="H14" s="5">
        <v>3000</v>
      </c>
      <c r="I14" s="4">
        <v>2</v>
      </c>
      <c r="J14" s="6">
        <v>0.371</v>
      </c>
      <c r="K14" s="4" t="s">
        <v>16</v>
      </c>
    </row>
    <row r="15" spans="2:11" ht="15" customHeight="1" x14ac:dyDescent="0.3">
      <c r="B15" s="7" t="s">
        <v>50</v>
      </c>
      <c r="C15" s="8">
        <v>45326</v>
      </c>
      <c r="D15" s="9" t="s">
        <v>18</v>
      </c>
      <c r="E15" s="9" t="s">
        <v>38</v>
      </c>
      <c r="F15" s="9" t="s">
        <v>39</v>
      </c>
      <c r="G15" s="10">
        <v>57900</v>
      </c>
      <c r="H15" s="10">
        <v>33100</v>
      </c>
      <c r="I15" s="9">
        <v>5</v>
      </c>
      <c r="J15" s="11">
        <v>0.42799999999999999</v>
      </c>
      <c r="K15" s="9" t="s">
        <v>21</v>
      </c>
    </row>
    <row r="16" spans="2:11" ht="15" customHeight="1" x14ac:dyDescent="0.3">
      <c r="B16" s="2" t="s">
        <v>51</v>
      </c>
      <c r="C16" s="3">
        <v>45328</v>
      </c>
      <c r="D16" s="4" t="s">
        <v>23</v>
      </c>
      <c r="E16" s="4" t="s">
        <v>14</v>
      </c>
      <c r="F16" s="4" t="s">
        <v>15</v>
      </c>
      <c r="G16" s="5">
        <v>111500</v>
      </c>
      <c r="H16" s="5">
        <v>79100</v>
      </c>
      <c r="I16" s="4">
        <v>4</v>
      </c>
      <c r="J16" s="6">
        <v>0.29099999999999998</v>
      </c>
      <c r="K16" s="4" t="s">
        <v>26</v>
      </c>
    </row>
    <row r="17" spans="2:11" ht="15" customHeight="1" x14ac:dyDescent="0.3">
      <c r="B17" s="7" t="s">
        <v>52</v>
      </c>
      <c r="C17" s="8">
        <v>45331</v>
      </c>
      <c r="D17" s="9" t="s">
        <v>28</v>
      </c>
      <c r="E17" s="9" t="s">
        <v>19</v>
      </c>
      <c r="F17" s="9" t="s">
        <v>20</v>
      </c>
      <c r="G17" s="10">
        <v>45800</v>
      </c>
      <c r="H17" s="10">
        <v>23600</v>
      </c>
      <c r="I17" s="9">
        <v>5</v>
      </c>
      <c r="J17" s="11">
        <v>0.48499999999999999</v>
      </c>
      <c r="K17" s="9" t="s">
        <v>31</v>
      </c>
    </row>
    <row r="18" spans="2:11" ht="15" customHeight="1" x14ac:dyDescent="0.3">
      <c r="B18" s="2" t="s">
        <v>53</v>
      </c>
      <c r="C18" s="3">
        <v>45335</v>
      </c>
      <c r="D18" s="4" t="s">
        <v>33</v>
      </c>
      <c r="E18" s="4" t="s">
        <v>24</v>
      </c>
      <c r="F18" s="4" t="s">
        <v>25</v>
      </c>
      <c r="G18" s="5">
        <v>28400</v>
      </c>
      <c r="H18" s="5">
        <v>16100</v>
      </c>
      <c r="I18" s="4">
        <v>7</v>
      </c>
      <c r="J18" s="6">
        <v>0.433</v>
      </c>
      <c r="K18" s="4" t="s">
        <v>36</v>
      </c>
    </row>
    <row r="19" spans="2:11" ht="15" customHeight="1" x14ac:dyDescent="0.3">
      <c r="B19" s="7" t="s">
        <v>54</v>
      </c>
      <c r="C19" s="8">
        <v>45338</v>
      </c>
      <c r="D19" s="9" t="s">
        <v>13</v>
      </c>
      <c r="E19" s="9" t="s">
        <v>29</v>
      </c>
      <c r="F19" s="9" t="s">
        <v>30</v>
      </c>
      <c r="G19" s="10">
        <v>3500</v>
      </c>
      <c r="H19" s="10">
        <v>2300</v>
      </c>
      <c r="I19" s="9">
        <v>3</v>
      </c>
      <c r="J19" s="11">
        <v>0.33</v>
      </c>
      <c r="K19" s="9" t="s">
        <v>40</v>
      </c>
    </row>
    <row r="20" spans="2:11" ht="15" customHeight="1" x14ac:dyDescent="0.3">
      <c r="B20" s="2" t="s">
        <v>55</v>
      </c>
      <c r="C20" s="3">
        <v>45342</v>
      </c>
      <c r="D20" s="4" t="s">
        <v>18</v>
      </c>
      <c r="E20" s="4" t="s">
        <v>34</v>
      </c>
      <c r="F20" s="4" t="s">
        <v>35</v>
      </c>
      <c r="G20" s="5">
        <v>4500</v>
      </c>
      <c r="H20" s="5">
        <v>3100</v>
      </c>
      <c r="I20" s="4">
        <v>2</v>
      </c>
      <c r="J20" s="6">
        <v>0.32100000000000001</v>
      </c>
      <c r="K20" s="4" t="s">
        <v>42</v>
      </c>
    </row>
    <row r="21" spans="2:11" ht="15" customHeight="1" x14ac:dyDescent="0.3">
      <c r="B21" s="7" t="s">
        <v>56</v>
      </c>
      <c r="C21" s="8">
        <v>45345</v>
      </c>
      <c r="D21" s="9" t="s">
        <v>23</v>
      </c>
      <c r="E21" s="9" t="s">
        <v>38</v>
      </c>
      <c r="F21" s="9" t="s">
        <v>39</v>
      </c>
      <c r="G21" s="10">
        <v>41600</v>
      </c>
      <c r="H21" s="10">
        <v>26200</v>
      </c>
      <c r="I21" s="9">
        <v>4</v>
      </c>
      <c r="J21" s="11">
        <v>0.371</v>
      </c>
      <c r="K21" s="9" t="s">
        <v>44</v>
      </c>
    </row>
    <row r="22" spans="2:11" ht="15" customHeight="1" x14ac:dyDescent="0.3">
      <c r="B22" s="2" t="s">
        <v>57</v>
      </c>
      <c r="C22" s="3">
        <v>45346</v>
      </c>
      <c r="D22" s="4" t="s">
        <v>28</v>
      </c>
      <c r="E22" s="4" t="s">
        <v>14</v>
      </c>
      <c r="F22" s="4" t="s">
        <v>15</v>
      </c>
      <c r="G22" s="5">
        <v>111200</v>
      </c>
      <c r="H22" s="5">
        <v>57600</v>
      </c>
      <c r="I22" s="4">
        <v>4</v>
      </c>
      <c r="J22" s="6">
        <v>0.48199999999999998</v>
      </c>
      <c r="K22" s="4" t="s">
        <v>46</v>
      </c>
    </row>
    <row r="23" spans="2:11" ht="15" customHeight="1" x14ac:dyDescent="0.3">
      <c r="B23" s="7" t="s">
        <v>58</v>
      </c>
      <c r="C23" s="8">
        <v>45350</v>
      </c>
      <c r="D23" s="9" t="s">
        <v>33</v>
      </c>
      <c r="E23" s="9" t="s">
        <v>19</v>
      </c>
      <c r="F23" s="9" t="s">
        <v>20</v>
      </c>
      <c r="G23" s="10">
        <v>35800</v>
      </c>
      <c r="H23" s="10">
        <v>18900</v>
      </c>
      <c r="I23" s="9">
        <v>4</v>
      </c>
      <c r="J23" s="11">
        <v>0.47299999999999998</v>
      </c>
      <c r="K23" s="9" t="s">
        <v>48</v>
      </c>
    </row>
    <row r="24" spans="2:11" ht="15" customHeight="1" x14ac:dyDescent="0.3">
      <c r="B24" s="2" t="s">
        <v>59</v>
      </c>
      <c r="C24" s="3">
        <v>45354</v>
      </c>
      <c r="D24" s="4" t="s">
        <v>13</v>
      </c>
      <c r="E24" s="4" t="s">
        <v>24</v>
      </c>
      <c r="F24" s="4" t="s">
        <v>25</v>
      </c>
      <c r="G24" s="5">
        <v>19500</v>
      </c>
      <c r="H24" s="5">
        <v>9800</v>
      </c>
      <c r="I24" s="4">
        <v>5</v>
      </c>
      <c r="J24" s="6">
        <v>0.499</v>
      </c>
      <c r="K24" s="4" t="s">
        <v>16</v>
      </c>
    </row>
    <row r="25" spans="2:11" ht="15" customHeight="1" x14ac:dyDescent="0.3">
      <c r="B25" s="7" t="s">
        <v>60</v>
      </c>
      <c r="C25" s="8">
        <v>45357</v>
      </c>
      <c r="D25" s="9" t="s">
        <v>18</v>
      </c>
      <c r="E25" s="9" t="s">
        <v>29</v>
      </c>
      <c r="F25" s="9" t="s">
        <v>30</v>
      </c>
      <c r="G25" s="10">
        <v>6900</v>
      </c>
      <c r="H25" s="10">
        <v>4100</v>
      </c>
      <c r="I25" s="9">
        <v>6</v>
      </c>
      <c r="J25" s="11">
        <v>0.4</v>
      </c>
      <c r="K25" s="9" t="s">
        <v>21</v>
      </c>
    </row>
    <row r="26" spans="2:11" ht="15" customHeight="1" x14ac:dyDescent="0.3">
      <c r="B26" s="2" t="s">
        <v>61</v>
      </c>
      <c r="C26" s="3">
        <v>45360</v>
      </c>
      <c r="D26" s="4" t="s">
        <v>23</v>
      </c>
      <c r="E26" s="4" t="s">
        <v>34</v>
      </c>
      <c r="F26" s="4" t="s">
        <v>35</v>
      </c>
      <c r="G26" s="5">
        <v>16600</v>
      </c>
      <c r="H26" s="5">
        <v>11400</v>
      </c>
      <c r="I26" s="4">
        <v>8</v>
      </c>
      <c r="J26" s="6">
        <v>0.314</v>
      </c>
      <c r="K26" s="4" t="s">
        <v>26</v>
      </c>
    </row>
    <row r="27" spans="2:11" ht="15" customHeight="1" x14ac:dyDescent="0.3">
      <c r="B27" s="7" t="s">
        <v>62</v>
      </c>
      <c r="C27" s="8">
        <v>45363</v>
      </c>
      <c r="D27" s="9" t="s">
        <v>28</v>
      </c>
      <c r="E27" s="9" t="s">
        <v>38</v>
      </c>
      <c r="F27" s="9" t="s">
        <v>39</v>
      </c>
      <c r="G27" s="10">
        <v>57200</v>
      </c>
      <c r="H27" s="10">
        <v>35300</v>
      </c>
      <c r="I27" s="9">
        <v>5</v>
      </c>
      <c r="J27" s="11">
        <v>0.38300000000000001</v>
      </c>
      <c r="K27" s="9" t="s">
        <v>31</v>
      </c>
    </row>
    <row r="28" spans="2:11" ht="15" customHeight="1" x14ac:dyDescent="0.3">
      <c r="B28" s="2" t="s">
        <v>63</v>
      </c>
      <c r="C28" s="3">
        <v>45364</v>
      </c>
      <c r="D28" s="4" t="s">
        <v>33</v>
      </c>
      <c r="E28" s="4" t="s">
        <v>14</v>
      </c>
      <c r="F28" s="4" t="s">
        <v>15</v>
      </c>
      <c r="G28" s="5">
        <v>184800</v>
      </c>
      <c r="H28" s="5">
        <v>88900</v>
      </c>
      <c r="I28" s="4">
        <v>7</v>
      </c>
      <c r="J28" s="6">
        <v>0.51900000000000002</v>
      </c>
      <c r="K28" s="4" t="s">
        <v>36</v>
      </c>
    </row>
    <row r="29" spans="2:11" ht="15" customHeight="1" x14ac:dyDescent="0.3">
      <c r="B29" s="7" t="s">
        <v>64</v>
      </c>
      <c r="C29" s="8">
        <v>45367</v>
      </c>
      <c r="D29" s="9" t="s">
        <v>13</v>
      </c>
      <c r="E29" s="9" t="s">
        <v>19</v>
      </c>
      <c r="F29" s="9" t="s">
        <v>20</v>
      </c>
      <c r="G29" s="10">
        <v>63500</v>
      </c>
      <c r="H29" s="10">
        <v>45000</v>
      </c>
      <c r="I29" s="9">
        <v>8</v>
      </c>
      <c r="J29" s="11">
        <v>0.29099999999999998</v>
      </c>
      <c r="K29" s="9" t="s">
        <v>40</v>
      </c>
    </row>
    <row r="30" spans="2:11" ht="15" customHeight="1" x14ac:dyDescent="0.3">
      <c r="B30" s="2" t="s">
        <v>65</v>
      </c>
      <c r="C30" s="3">
        <v>45371</v>
      </c>
      <c r="D30" s="4" t="s">
        <v>18</v>
      </c>
      <c r="E30" s="4" t="s">
        <v>24</v>
      </c>
      <c r="F30" s="4" t="s">
        <v>25</v>
      </c>
      <c r="G30" s="5">
        <v>12900</v>
      </c>
      <c r="H30" s="5">
        <v>6800</v>
      </c>
      <c r="I30" s="4">
        <v>3</v>
      </c>
      <c r="J30" s="6">
        <v>0.47</v>
      </c>
      <c r="K30" s="4" t="s">
        <v>42</v>
      </c>
    </row>
    <row r="31" spans="2:11" ht="15" customHeight="1" x14ac:dyDescent="0.3">
      <c r="B31" s="7" t="s">
        <v>66</v>
      </c>
      <c r="C31" s="8">
        <v>45374</v>
      </c>
      <c r="D31" s="9" t="s">
        <v>23</v>
      </c>
      <c r="E31" s="9" t="s">
        <v>29</v>
      </c>
      <c r="F31" s="9" t="s">
        <v>30</v>
      </c>
      <c r="G31" s="10">
        <v>2400</v>
      </c>
      <c r="H31" s="10">
        <v>1400</v>
      </c>
      <c r="I31" s="9">
        <v>2</v>
      </c>
      <c r="J31" s="11">
        <v>0.42299999999999999</v>
      </c>
      <c r="K31" s="9" t="s">
        <v>44</v>
      </c>
    </row>
    <row r="32" spans="2:11" ht="15" customHeight="1" x14ac:dyDescent="0.3">
      <c r="B32" s="2" t="s">
        <v>67</v>
      </c>
      <c r="C32" s="3">
        <v>45376</v>
      </c>
      <c r="D32" s="4" t="s">
        <v>28</v>
      </c>
      <c r="E32" s="4" t="s">
        <v>34</v>
      </c>
      <c r="F32" s="4" t="s">
        <v>35</v>
      </c>
      <c r="G32" s="5">
        <v>11800</v>
      </c>
      <c r="H32" s="5">
        <v>6100</v>
      </c>
      <c r="I32" s="4">
        <v>5</v>
      </c>
      <c r="J32" s="6">
        <v>0.48699999999999999</v>
      </c>
      <c r="K32" s="4" t="s">
        <v>46</v>
      </c>
    </row>
    <row r="33" spans="2:11" ht="15" customHeight="1" x14ac:dyDescent="0.3">
      <c r="B33" s="7" t="s">
        <v>68</v>
      </c>
      <c r="C33" s="8">
        <v>45380</v>
      </c>
      <c r="D33" s="9" t="s">
        <v>33</v>
      </c>
      <c r="E33" s="9" t="s">
        <v>38</v>
      </c>
      <c r="F33" s="9" t="s">
        <v>39</v>
      </c>
      <c r="G33" s="10">
        <v>22600</v>
      </c>
      <c r="H33" s="10">
        <v>13400</v>
      </c>
      <c r="I33" s="9">
        <v>2</v>
      </c>
      <c r="J33" s="11">
        <v>0.40899999999999997</v>
      </c>
      <c r="K33" s="9" t="s">
        <v>48</v>
      </c>
    </row>
    <row r="34" spans="2:11" ht="15" customHeight="1" x14ac:dyDescent="0.3">
      <c r="B34" s="2" t="s">
        <v>69</v>
      </c>
      <c r="C34" s="3">
        <v>45383</v>
      </c>
      <c r="D34" s="4" t="s">
        <v>13</v>
      </c>
      <c r="E34" s="4" t="s">
        <v>14</v>
      </c>
      <c r="F34" s="4" t="s">
        <v>15</v>
      </c>
      <c r="G34" s="5">
        <v>151900</v>
      </c>
      <c r="H34" s="5">
        <v>93600</v>
      </c>
      <c r="I34" s="4">
        <v>6</v>
      </c>
      <c r="J34" s="6">
        <v>0.38400000000000001</v>
      </c>
      <c r="K34" s="4" t="s">
        <v>16</v>
      </c>
    </row>
    <row r="35" spans="2:11" ht="15" customHeight="1" x14ac:dyDescent="0.3">
      <c r="B35" s="7" t="s">
        <v>70</v>
      </c>
      <c r="C35" s="8">
        <v>45386</v>
      </c>
      <c r="D35" s="9" t="s">
        <v>18</v>
      </c>
      <c r="E35" s="9" t="s">
        <v>19</v>
      </c>
      <c r="F35" s="9" t="s">
        <v>20</v>
      </c>
      <c r="G35" s="10">
        <v>9100</v>
      </c>
      <c r="H35" s="10">
        <v>4600</v>
      </c>
      <c r="I35" s="9">
        <v>1</v>
      </c>
      <c r="J35" s="11">
        <v>0.49</v>
      </c>
      <c r="K35" s="9" t="s">
        <v>21</v>
      </c>
    </row>
    <row r="36" spans="2:11" ht="15" customHeight="1" x14ac:dyDescent="0.3">
      <c r="B36" s="2" t="s">
        <v>71</v>
      </c>
      <c r="C36" s="3">
        <v>45390</v>
      </c>
      <c r="D36" s="4" t="s">
        <v>23</v>
      </c>
      <c r="E36" s="4" t="s">
        <v>24</v>
      </c>
      <c r="F36" s="4" t="s">
        <v>25</v>
      </c>
      <c r="G36" s="5">
        <v>12600</v>
      </c>
      <c r="H36" s="5">
        <v>8700</v>
      </c>
      <c r="I36" s="4">
        <v>3</v>
      </c>
      <c r="J36" s="6">
        <v>0.30599999999999999</v>
      </c>
      <c r="K36" s="4" t="s">
        <v>26</v>
      </c>
    </row>
    <row r="37" spans="2:11" ht="15" customHeight="1" x14ac:dyDescent="0.3">
      <c r="B37" s="7" t="s">
        <v>72</v>
      </c>
      <c r="C37" s="8">
        <v>45391</v>
      </c>
      <c r="D37" s="9" t="s">
        <v>28</v>
      </c>
      <c r="E37" s="9" t="s">
        <v>29</v>
      </c>
      <c r="F37" s="9" t="s">
        <v>30</v>
      </c>
      <c r="G37" s="10">
        <v>6300</v>
      </c>
      <c r="H37" s="10">
        <v>3800</v>
      </c>
      <c r="I37" s="9">
        <v>5</v>
      </c>
      <c r="J37" s="11">
        <v>0.40200000000000002</v>
      </c>
      <c r="K37" s="9" t="s">
        <v>31</v>
      </c>
    </row>
    <row r="38" spans="2:11" ht="15" customHeight="1" x14ac:dyDescent="0.3">
      <c r="B38" s="2" t="s">
        <v>73</v>
      </c>
      <c r="C38" s="3">
        <v>45396</v>
      </c>
      <c r="D38" s="4" t="s">
        <v>33</v>
      </c>
      <c r="E38" s="4" t="s">
        <v>34</v>
      </c>
      <c r="F38" s="4" t="s">
        <v>35</v>
      </c>
      <c r="G38" s="5">
        <v>6500</v>
      </c>
      <c r="H38" s="5">
        <v>4400</v>
      </c>
      <c r="I38" s="4">
        <v>3</v>
      </c>
      <c r="J38" s="6">
        <v>0.31900000000000001</v>
      </c>
      <c r="K38" s="4" t="s">
        <v>36</v>
      </c>
    </row>
    <row r="39" spans="2:11" ht="15" customHeight="1" x14ac:dyDescent="0.3">
      <c r="B39" s="7" t="s">
        <v>74</v>
      </c>
      <c r="C39" s="8">
        <v>45397</v>
      </c>
      <c r="D39" s="9" t="s">
        <v>13</v>
      </c>
      <c r="E39" s="9" t="s">
        <v>38</v>
      </c>
      <c r="F39" s="9" t="s">
        <v>39</v>
      </c>
      <c r="G39" s="10">
        <v>11200</v>
      </c>
      <c r="H39" s="10">
        <v>6800</v>
      </c>
      <c r="I39" s="9">
        <v>1</v>
      </c>
      <c r="J39" s="11">
        <v>0.39700000000000002</v>
      </c>
      <c r="K39" s="9" t="s">
        <v>40</v>
      </c>
    </row>
    <row r="40" spans="2:11" ht="15" customHeight="1" x14ac:dyDescent="0.3">
      <c r="B40" s="2" t="s">
        <v>75</v>
      </c>
      <c r="C40" s="3">
        <v>45401</v>
      </c>
      <c r="D40" s="4" t="s">
        <v>18</v>
      </c>
      <c r="E40" s="4" t="s">
        <v>14</v>
      </c>
      <c r="F40" s="4" t="s">
        <v>15</v>
      </c>
      <c r="G40" s="5">
        <v>171800</v>
      </c>
      <c r="H40" s="5">
        <v>89300</v>
      </c>
      <c r="I40" s="4">
        <v>6</v>
      </c>
      <c r="J40" s="6">
        <v>0.48</v>
      </c>
      <c r="K40" s="4" t="s">
        <v>42</v>
      </c>
    </row>
    <row r="41" spans="2:11" ht="15" customHeight="1" x14ac:dyDescent="0.3">
      <c r="B41" s="7" t="s">
        <v>76</v>
      </c>
      <c r="C41" s="8">
        <v>45403</v>
      </c>
      <c r="D41" s="9" t="s">
        <v>23</v>
      </c>
      <c r="E41" s="9" t="s">
        <v>19</v>
      </c>
      <c r="F41" s="9" t="s">
        <v>20</v>
      </c>
      <c r="G41" s="10">
        <v>31600</v>
      </c>
      <c r="H41" s="10">
        <v>16100</v>
      </c>
      <c r="I41" s="9">
        <v>4</v>
      </c>
      <c r="J41" s="11">
        <v>0.49099999999999999</v>
      </c>
      <c r="K41" s="9" t="s">
        <v>44</v>
      </c>
    </row>
    <row r="42" spans="2:11" ht="15" customHeight="1" x14ac:dyDescent="0.3">
      <c r="B42" s="2" t="s">
        <v>77</v>
      </c>
      <c r="C42" s="3">
        <v>45408</v>
      </c>
      <c r="D42" s="4" t="s">
        <v>28</v>
      </c>
      <c r="E42" s="4" t="s">
        <v>24</v>
      </c>
      <c r="F42" s="4" t="s">
        <v>25</v>
      </c>
      <c r="G42" s="5">
        <v>8700</v>
      </c>
      <c r="H42" s="5">
        <v>4600</v>
      </c>
      <c r="I42" s="4">
        <v>2</v>
      </c>
      <c r="J42" s="6">
        <v>0.47599999999999998</v>
      </c>
      <c r="K42" s="4" t="s">
        <v>46</v>
      </c>
    </row>
    <row r="43" spans="2:11" ht="15" customHeight="1" x14ac:dyDescent="0.3">
      <c r="B43" s="7" t="s">
        <v>78</v>
      </c>
      <c r="C43" s="8">
        <v>45411</v>
      </c>
      <c r="D43" s="9" t="s">
        <v>33</v>
      </c>
      <c r="E43" s="9" t="s">
        <v>29</v>
      </c>
      <c r="F43" s="9" t="s">
        <v>30</v>
      </c>
      <c r="G43" s="10">
        <v>3400</v>
      </c>
      <c r="H43" s="10">
        <v>2100</v>
      </c>
      <c r="I43" s="9">
        <v>3</v>
      </c>
      <c r="J43" s="11">
        <v>0.39400000000000002</v>
      </c>
      <c r="K43" s="9" t="s">
        <v>48</v>
      </c>
    </row>
    <row r="44" spans="2:11" ht="15" customHeight="1" x14ac:dyDescent="0.3">
      <c r="B44" s="2" t="s">
        <v>79</v>
      </c>
      <c r="C44" s="3">
        <v>45413</v>
      </c>
      <c r="D44" s="4" t="s">
        <v>13</v>
      </c>
      <c r="E44" s="4" t="s">
        <v>34</v>
      </c>
      <c r="F44" s="4" t="s">
        <v>35</v>
      </c>
      <c r="G44" s="5">
        <v>6400</v>
      </c>
      <c r="H44" s="5">
        <v>3300</v>
      </c>
      <c r="I44" s="4">
        <v>3</v>
      </c>
      <c r="J44" s="6">
        <v>0.48899999999999999</v>
      </c>
      <c r="K44" s="4" t="s">
        <v>16</v>
      </c>
    </row>
    <row r="45" spans="2:11" ht="15" customHeight="1" x14ac:dyDescent="0.3">
      <c r="B45" s="7" t="s">
        <v>80</v>
      </c>
      <c r="C45" s="8">
        <v>45417</v>
      </c>
      <c r="D45" s="9" t="s">
        <v>18</v>
      </c>
      <c r="E45" s="9" t="s">
        <v>38</v>
      </c>
      <c r="F45" s="9" t="s">
        <v>39</v>
      </c>
      <c r="G45" s="10">
        <v>47000</v>
      </c>
      <c r="H45" s="10">
        <v>25300</v>
      </c>
      <c r="I45" s="9">
        <v>4</v>
      </c>
      <c r="J45" s="11">
        <v>0.46100000000000002</v>
      </c>
      <c r="K45" s="9" t="s">
        <v>21</v>
      </c>
    </row>
    <row r="46" spans="2:11" ht="15" customHeight="1" x14ac:dyDescent="0.3">
      <c r="B46" s="2" t="s">
        <v>81</v>
      </c>
      <c r="C46" s="3">
        <v>45420</v>
      </c>
      <c r="D46" s="4" t="s">
        <v>23</v>
      </c>
      <c r="E46" s="4" t="s">
        <v>14</v>
      </c>
      <c r="F46" s="4" t="s">
        <v>15</v>
      </c>
      <c r="G46" s="5">
        <v>111700</v>
      </c>
      <c r="H46" s="5">
        <v>69700</v>
      </c>
      <c r="I46" s="4">
        <v>4</v>
      </c>
      <c r="J46" s="6">
        <v>0.376</v>
      </c>
      <c r="K46" s="4" t="s">
        <v>26</v>
      </c>
    </row>
    <row r="47" spans="2:11" ht="15" customHeight="1" x14ac:dyDescent="0.3">
      <c r="B47" s="7" t="s">
        <v>82</v>
      </c>
      <c r="C47" s="8">
        <v>45421</v>
      </c>
      <c r="D47" s="9" t="s">
        <v>28</v>
      </c>
      <c r="E47" s="9" t="s">
        <v>19</v>
      </c>
      <c r="F47" s="9" t="s">
        <v>20</v>
      </c>
      <c r="G47" s="10">
        <v>50500</v>
      </c>
      <c r="H47" s="10">
        <v>30100</v>
      </c>
      <c r="I47" s="9">
        <v>6</v>
      </c>
      <c r="J47" s="11">
        <v>0.40400000000000003</v>
      </c>
      <c r="K47" s="9" t="s">
        <v>31</v>
      </c>
    </row>
    <row r="48" spans="2:11" ht="15" customHeight="1" x14ac:dyDescent="0.3">
      <c r="B48" s="2" t="s">
        <v>83</v>
      </c>
      <c r="C48" s="3">
        <v>45426</v>
      </c>
      <c r="D48" s="4" t="s">
        <v>33</v>
      </c>
      <c r="E48" s="4" t="s">
        <v>24</v>
      </c>
      <c r="F48" s="4" t="s">
        <v>25</v>
      </c>
      <c r="G48" s="5">
        <v>16100</v>
      </c>
      <c r="H48" s="5">
        <v>10300</v>
      </c>
      <c r="I48" s="4">
        <v>4</v>
      </c>
      <c r="J48" s="6">
        <v>0.36099999999999999</v>
      </c>
      <c r="K48" s="4" t="s">
        <v>36</v>
      </c>
    </row>
    <row r="49" spans="2:11" ht="15" customHeight="1" x14ac:dyDescent="0.3">
      <c r="B49" s="7" t="s">
        <v>84</v>
      </c>
      <c r="C49" s="8">
        <v>45429</v>
      </c>
      <c r="D49" s="9" t="s">
        <v>13</v>
      </c>
      <c r="E49" s="9" t="s">
        <v>29</v>
      </c>
      <c r="F49" s="9" t="s">
        <v>30</v>
      </c>
      <c r="G49" s="10">
        <v>4900</v>
      </c>
      <c r="H49" s="10">
        <v>3500</v>
      </c>
      <c r="I49" s="9">
        <v>4</v>
      </c>
      <c r="J49" s="11">
        <v>0.28199999999999997</v>
      </c>
      <c r="K49" s="9" t="s">
        <v>40</v>
      </c>
    </row>
    <row r="50" spans="2:11" ht="15" customHeight="1" x14ac:dyDescent="0.3">
      <c r="B50" s="2" t="s">
        <v>85</v>
      </c>
      <c r="C50" s="3">
        <v>45431</v>
      </c>
      <c r="D50" s="4" t="s">
        <v>18</v>
      </c>
      <c r="E50" s="4" t="s">
        <v>34</v>
      </c>
      <c r="F50" s="4" t="s">
        <v>35</v>
      </c>
      <c r="G50" s="5">
        <v>2100</v>
      </c>
      <c r="H50" s="5">
        <v>1100</v>
      </c>
      <c r="I50" s="4">
        <v>1</v>
      </c>
      <c r="J50" s="6">
        <v>0.497</v>
      </c>
      <c r="K50" s="4" t="s">
        <v>42</v>
      </c>
    </row>
    <row r="51" spans="2:11" ht="15" customHeight="1" x14ac:dyDescent="0.3">
      <c r="B51" s="7" t="s">
        <v>86</v>
      </c>
      <c r="C51" s="8">
        <v>45434</v>
      </c>
      <c r="D51" s="9" t="s">
        <v>23</v>
      </c>
      <c r="E51" s="9" t="s">
        <v>38</v>
      </c>
      <c r="F51" s="9" t="s">
        <v>39</v>
      </c>
      <c r="G51" s="10">
        <v>22000</v>
      </c>
      <c r="H51" s="10">
        <v>14400</v>
      </c>
      <c r="I51" s="9">
        <v>2</v>
      </c>
      <c r="J51" s="11">
        <v>0.34699999999999998</v>
      </c>
      <c r="K51" s="9" t="s">
        <v>44</v>
      </c>
    </row>
    <row r="52" spans="2:11" ht="15" customHeight="1" x14ac:dyDescent="0.3">
      <c r="B52" s="2" t="s">
        <v>87</v>
      </c>
      <c r="C52" s="3">
        <v>45438</v>
      </c>
      <c r="D52" s="4" t="s">
        <v>28</v>
      </c>
      <c r="E52" s="4" t="s">
        <v>14</v>
      </c>
      <c r="F52" s="4" t="s">
        <v>15</v>
      </c>
      <c r="G52" s="5">
        <v>108700</v>
      </c>
      <c r="H52" s="5">
        <v>59400</v>
      </c>
      <c r="I52" s="4">
        <v>4</v>
      </c>
      <c r="J52" s="6">
        <v>0.45400000000000001</v>
      </c>
      <c r="K52" s="4" t="s">
        <v>46</v>
      </c>
    </row>
    <row r="53" spans="2:11" ht="15" customHeight="1" x14ac:dyDescent="0.3">
      <c r="B53" s="7" t="s">
        <v>88</v>
      </c>
      <c r="C53" s="8">
        <v>45440</v>
      </c>
      <c r="D53" s="9" t="s">
        <v>33</v>
      </c>
      <c r="E53" s="9" t="s">
        <v>19</v>
      </c>
      <c r="F53" s="9" t="s">
        <v>20</v>
      </c>
      <c r="G53" s="10">
        <v>65200</v>
      </c>
      <c r="H53" s="10">
        <v>39500</v>
      </c>
      <c r="I53" s="9">
        <v>8</v>
      </c>
      <c r="J53" s="11">
        <v>0.39400000000000002</v>
      </c>
      <c r="K53" s="9" t="s">
        <v>48</v>
      </c>
    </row>
    <row r="54" spans="2:11" ht="15" customHeight="1" x14ac:dyDescent="0.3">
      <c r="B54" s="2" t="s">
        <v>89</v>
      </c>
      <c r="C54" s="3">
        <v>45443</v>
      </c>
      <c r="D54" s="4" t="s">
        <v>13</v>
      </c>
      <c r="E54" s="4" t="s">
        <v>24</v>
      </c>
      <c r="F54" s="4" t="s">
        <v>25</v>
      </c>
      <c r="G54" s="5">
        <v>15700</v>
      </c>
      <c r="H54" s="5">
        <v>8800</v>
      </c>
      <c r="I54" s="4">
        <v>4</v>
      </c>
      <c r="J54" s="6">
        <v>0.438</v>
      </c>
      <c r="K54" s="4" t="s">
        <v>16</v>
      </c>
    </row>
    <row r="55" spans="2:11" ht="15" customHeight="1" x14ac:dyDescent="0.3">
      <c r="B55" s="7" t="s">
        <v>90</v>
      </c>
      <c r="C55" s="8">
        <v>45445</v>
      </c>
      <c r="D55" s="9" t="s">
        <v>18</v>
      </c>
      <c r="E55" s="9" t="s">
        <v>29</v>
      </c>
      <c r="F55" s="9" t="s">
        <v>30</v>
      </c>
      <c r="G55" s="10">
        <v>8300</v>
      </c>
      <c r="H55" s="10">
        <v>4300</v>
      </c>
      <c r="I55" s="9">
        <v>7</v>
      </c>
      <c r="J55" s="11">
        <v>0.48699999999999999</v>
      </c>
      <c r="K55" s="9" t="s">
        <v>21</v>
      </c>
    </row>
    <row r="56" spans="2:11" ht="15" customHeight="1" x14ac:dyDescent="0.3">
      <c r="B56" s="2" t="s">
        <v>91</v>
      </c>
      <c r="C56" s="3">
        <v>45448</v>
      </c>
      <c r="D56" s="4" t="s">
        <v>23</v>
      </c>
      <c r="E56" s="4" t="s">
        <v>34</v>
      </c>
      <c r="F56" s="4" t="s">
        <v>35</v>
      </c>
      <c r="G56" s="5">
        <v>4100</v>
      </c>
      <c r="H56" s="5">
        <v>2200</v>
      </c>
      <c r="I56" s="4">
        <v>2</v>
      </c>
      <c r="J56" s="6">
        <v>0.45500000000000002</v>
      </c>
      <c r="K56" s="4" t="s">
        <v>26</v>
      </c>
    </row>
    <row r="57" spans="2:11" ht="15" customHeight="1" x14ac:dyDescent="0.3">
      <c r="B57" s="7" t="s">
        <v>92</v>
      </c>
      <c r="C57" s="8">
        <v>45451</v>
      </c>
      <c r="D57" s="9" t="s">
        <v>28</v>
      </c>
      <c r="E57" s="9" t="s">
        <v>38</v>
      </c>
      <c r="F57" s="9" t="s">
        <v>39</v>
      </c>
      <c r="G57" s="10">
        <v>41800</v>
      </c>
      <c r="H57" s="10">
        <v>24700</v>
      </c>
      <c r="I57" s="9">
        <v>4</v>
      </c>
      <c r="J57" s="11">
        <v>0.40899999999999997</v>
      </c>
      <c r="K57" s="9" t="s">
        <v>31</v>
      </c>
    </row>
    <row r="58" spans="2:11" ht="15" customHeight="1" x14ac:dyDescent="0.3">
      <c r="B58" s="2" t="s">
        <v>93</v>
      </c>
      <c r="C58" s="3">
        <v>45454</v>
      </c>
      <c r="D58" s="4" t="s">
        <v>33</v>
      </c>
      <c r="E58" s="4" t="s">
        <v>14</v>
      </c>
      <c r="F58" s="4" t="s">
        <v>15</v>
      </c>
      <c r="G58" s="5">
        <v>179400</v>
      </c>
      <c r="H58" s="5">
        <v>109300</v>
      </c>
      <c r="I58" s="4">
        <v>7</v>
      </c>
      <c r="J58" s="6">
        <v>0.39100000000000001</v>
      </c>
      <c r="K58" s="4" t="s">
        <v>36</v>
      </c>
    </row>
    <row r="59" spans="2:11" ht="15" customHeight="1" x14ac:dyDescent="0.3">
      <c r="B59" s="7" t="s">
        <v>94</v>
      </c>
      <c r="C59" s="8">
        <v>45457</v>
      </c>
      <c r="D59" s="9" t="s">
        <v>13</v>
      </c>
      <c r="E59" s="9" t="s">
        <v>19</v>
      </c>
      <c r="F59" s="9" t="s">
        <v>20</v>
      </c>
      <c r="G59" s="10">
        <v>71400</v>
      </c>
      <c r="H59" s="10">
        <v>36800</v>
      </c>
      <c r="I59" s="9">
        <v>8</v>
      </c>
      <c r="J59" s="11">
        <v>0.48499999999999999</v>
      </c>
      <c r="K59" s="9" t="s">
        <v>40</v>
      </c>
    </row>
    <row r="60" spans="2:11" ht="15" customHeight="1" x14ac:dyDescent="0.3">
      <c r="B60" s="2" t="s">
        <v>95</v>
      </c>
      <c r="C60" s="3">
        <v>45460</v>
      </c>
      <c r="D60" s="4" t="s">
        <v>18</v>
      </c>
      <c r="E60" s="4" t="s">
        <v>24</v>
      </c>
      <c r="F60" s="4" t="s">
        <v>25</v>
      </c>
      <c r="G60" s="5">
        <v>4300</v>
      </c>
      <c r="H60" s="5">
        <v>2500</v>
      </c>
      <c r="I60" s="4">
        <v>1</v>
      </c>
      <c r="J60" s="6">
        <v>0.41</v>
      </c>
      <c r="K60" s="4" t="s">
        <v>42</v>
      </c>
    </row>
    <row r="61" spans="2:11" ht="15" customHeight="1" x14ac:dyDescent="0.3">
      <c r="B61" s="7" t="s">
        <v>96</v>
      </c>
      <c r="C61" s="8">
        <v>45463</v>
      </c>
      <c r="D61" s="9" t="s">
        <v>23</v>
      </c>
      <c r="E61" s="9" t="s">
        <v>29</v>
      </c>
      <c r="F61" s="9" t="s">
        <v>30</v>
      </c>
      <c r="G61" s="10">
        <v>2600</v>
      </c>
      <c r="H61" s="10">
        <v>1300</v>
      </c>
      <c r="I61" s="9">
        <v>2</v>
      </c>
      <c r="J61" s="11">
        <v>0.48399999999999999</v>
      </c>
      <c r="K61" s="9" t="s">
        <v>44</v>
      </c>
    </row>
    <row r="62" spans="2:11" ht="15" customHeight="1" x14ac:dyDescent="0.3">
      <c r="B62" s="2" t="s">
        <v>97</v>
      </c>
      <c r="C62" s="3">
        <v>45467</v>
      </c>
      <c r="D62" s="4" t="s">
        <v>28</v>
      </c>
      <c r="E62" s="4" t="s">
        <v>34</v>
      </c>
      <c r="F62" s="4" t="s">
        <v>35</v>
      </c>
      <c r="G62" s="5">
        <v>15400</v>
      </c>
      <c r="H62" s="5">
        <v>10300</v>
      </c>
      <c r="I62" s="4">
        <v>7</v>
      </c>
      <c r="J62" s="6">
        <v>0.33100000000000002</v>
      </c>
      <c r="K62" s="4" t="s">
        <v>46</v>
      </c>
    </row>
    <row r="63" spans="2:11" ht="15" customHeight="1" x14ac:dyDescent="0.3">
      <c r="B63" s="7" t="s">
        <v>98</v>
      </c>
      <c r="C63" s="8">
        <v>45470</v>
      </c>
      <c r="D63" s="9" t="s">
        <v>33</v>
      </c>
      <c r="E63" s="9" t="s">
        <v>38</v>
      </c>
      <c r="F63" s="9" t="s">
        <v>39</v>
      </c>
      <c r="G63" s="10">
        <v>10400</v>
      </c>
      <c r="H63" s="10">
        <v>7500</v>
      </c>
      <c r="I63" s="9">
        <v>1</v>
      </c>
      <c r="J63" s="11">
        <v>0.28100000000000003</v>
      </c>
      <c r="K63" s="9" t="s">
        <v>48</v>
      </c>
    </row>
    <row r="64" spans="2:11" ht="15" customHeight="1" x14ac:dyDescent="0.3">
      <c r="B64" s="2" t="s">
        <v>99</v>
      </c>
      <c r="C64" s="3">
        <v>45473</v>
      </c>
      <c r="D64" s="4" t="s">
        <v>13</v>
      </c>
      <c r="E64" s="4" t="s">
        <v>14</v>
      </c>
      <c r="F64" s="4" t="s">
        <v>15</v>
      </c>
      <c r="G64" s="5">
        <v>144200</v>
      </c>
      <c r="H64" s="5">
        <v>76700</v>
      </c>
      <c r="I64" s="4">
        <v>5</v>
      </c>
      <c r="J64" s="6">
        <v>0.46800000000000003</v>
      </c>
      <c r="K64" s="4" t="s">
        <v>16</v>
      </c>
    </row>
    <row r="65" spans="2:11" ht="15" customHeight="1" x14ac:dyDescent="0.3">
      <c r="B65" s="7" t="s">
        <v>100</v>
      </c>
      <c r="C65" s="8">
        <v>45477</v>
      </c>
      <c r="D65" s="9" t="s">
        <v>18</v>
      </c>
      <c r="E65" s="9" t="s">
        <v>19</v>
      </c>
      <c r="F65" s="9" t="s">
        <v>20</v>
      </c>
      <c r="G65" s="10">
        <v>61400</v>
      </c>
      <c r="H65" s="10">
        <v>33500</v>
      </c>
      <c r="I65" s="9">
        <v>7</v>
      </c>
      <c r="J65" s="11">
        <v>0.45500000000000002</v>
      </c>
      <c r="K65" s="9" t="s">
        <v>21</v>
      </c>
    </row>
    <row r="66" spans="2:11" ht="15" customHeight="1" x14ac:dyDescent="0.3">
      <c r="B66" s="2" t="s">
        <v>101</v>
      </c>
      <c r="C66" s="3">
        <v>45478</v>
      </c>
      <c r="D66" s="4" t="s">
        <v>23</v>
      </c>
      <c r="E66" s="4" t="s">
        <v>24</v>
      </c>
      <c r="F66" s="4" t="s">
        <v>25</v>
      </c>
      <c r="G66" s="5">
        <v>31700</v>
      </c>
      <c r="H66" s="5">
        <v>20600</v>
      </c>
      <c r="I66" s="4">
        <v>8</v>
      </c>
      <c r="J66" s="6">
        <v>0.35099999999999998</v>
      </c>
      <c r="K66" s="4" t="s">
        <v>26</v>
      </c>
    </row>
    <row r="67" spans="2:11" ht="15" customHeight="1" x14ac:dyDescent="0.3">
      <c r="B67" s="7" t="s">
        <v>102</v>
      </c>
      <c r="C67" s="8">
        <v>45483</v>
      </c>
      <c r="D67" s="9" t="s">
        <v>28</v>
      </c>
      <c r="E67" s="9" t="s">
        <v>29</v>
      </c>
      <c r="F67" s="9" t="s">
        <v>30</v>
      </c>
      <c r="G67" s="10">
        <v>1200</v>
      </c>
      <c r="H67" s="10">
        <v>800</v>
      </c>
      <c r="I67" s="9">
        <v>1</v>
      </c>
      <c r="J67" s="11">
        <v>0.29399999999999998</v>
      </c>
      <c r="K67" s="9" t="s">
        <v>31</v>
      </c>
    </row>
    <row r="68" spans="2:11" ht="15" customHeight="1" x14ac:dyDescent="0.3">
      <c r="B68" s="2" t="s">
        <v>103</v>
      </c>
      <c r="C68" s="3">
        <v>45484</v>
      </c>
      <c r="D68" s="4" t="s">
        <v>33</v>
      </c>
      <c r="E68" s="4" t="s">
        <v>34</v>
      </c>
      <c r="F68" s="4" t="s">
        <v>35</v>
      </c>
      <c r="G68" s="5">
        <v>17600</v>
      </c>
      <c r="H68" s="5">
        <v>9100</v>
      </c>
      <c r="I68" s="4">
        <v>8</v>
      </c>
      <c r="J68" s="6">
        <v>0.48499999999999999</v>
      </c>
      <c r="K68" s="4" t="s">
        <v>36</v>
      </c>
    </row>
    <row r="69" spans="2:11" ht="15" customHeight="1" x14ac:dyDescent="0.3">
      <c r="B69" s="7" t="s">
        <v>104</v>
      </c>
      <c r="C69" s="8">
        <v>45487</v>
      </c>
      <c r="D69" s="9" t="s">
        <v>13</v>
      </c>
      <c r="E69" s="9" t="s">
        <v>38</v>
      </c>
      <c r="F69" s="9" t="s">
        <v>39</v>
      </c>
      <c r="G69" s="10">
        <v>11800</v>
      </c>
      <c r="H69" s="10">
        <v>8300</v>
      </c>
      <c r="I69" s="9">
        <v>1</v>
      </c>
      <c r="J69" s="11">
        <v>0.29899999999999999</v>
      </c>
      <c r="K69" s="9" t="s">
        <v>40</v>
      </c>
    </row>
    <row r="70" spans="2:11" ht="15" customHeight="1" x14ac:dyDescent="0.3">
      <c r="B70" s="2" t="s">
        <v>105</v>
      </c>
      <c r="C70" s="3">
        <v>45490</v>
      </c>
      <c r="D70" s="4" t="s">
        <v>18</v>
      </c>
      <c r="E70" s="4" t="s">
        <v>14</v>
      </c>
      <c r="F70" s="4" t="s">
        <v>15</v>
      </c>
      <c r="G70" s="5">
        <v>54800</v>
      </c>
      <c r="H70" s="5">
        <v>30600</v>
      </c>
      <c r="I70" s="4">
        <v>2</v>
      </c>
      <c r="J70" s="6">
        <v>0.442</v>
      </c>
      <c r="K70" s="4" t="s">
        <v>42</v>
      </c>
    </row>
    <row r="71" spans="2:11" ht="15" customHeight="1" x14ac:dyDescent="0.3">
      <c r="B71" s="7" t="s">
        <v>106</v>
      </c>
      <c r="C71" s="8">
        <v>45493</v>
      </c>
      <c r="D71" s="9" t="s">
        <v>23</v>
      </c>
      <c r="E71" s="9" t="s">
        <v>19</v>
      </c>
      <c r="F71" s="9" t="s">
        <v>20</v>
      </c>
      <c r="G71" s="10">
        <v>55900</v>
      </c>
      <c r="H71" s="10">
        <v>28300</v>
      </c>
      <c r="I71" s="9">
        <v>7</v>
      </c>
      <c r="J71" s="11">
        <v>0.49399999999999999</v>
      </c>
      <c r="K71" s="9" t="s">
        <v>44</v>
      </c>
    </row>
    <row r="72" spans="2:11" ht="15" customHeight="1" x14ac:dyDescent="0.3">
      <c r="B72" s="2" t="s">
        <v>107</v>
      </c>
      <c r="C72" s="3">
        <v>45498</v>
      </c>
      <c r="D72" s="4" t="s">
        <v>28</v>
      </c>
      <c r="E72" s="4" t="s">
        <v>24</v>
      </c>
      <c r="F72" s="4" t="s">
        <v>25</v>
      </c>
      <c r="G72" s="5">
        <v>4300</v>
      </c>
      <c r="H72" s="5">
        <v>2700</v>
      </c>
      <c r="I72" s="4">
        <v>1</v>
      </c>
      <c r="J72" s="6">
        <v>0.38100000000000001</v>
      </c>
      <c r="K72" s="4" t="s">
        <v>46</v>
      </c>
    </row>
    <row r="73" spans="2:11" ht="15" customHeight="1" x14ac:dyDescent="0.3">
      <c r="B73" s="7" t="s">
        <v>108</v>
      </c>
      <c r="C73" s="8">
        <v>45501</v>
      </c>
      <c r="D73" s="9" t="s">
        <v>33</v>
      </c>
      <c r="E73" s="9" t="s">
        <v>29</v>
      </c>
      <c r="F73" s="9" t="s">
        <v>30</v>
      </c>
      <c r="G73" s="10">
        <v>7700</v>
      </c>
      <c r="H73" s="10">
        <v>5200</v>
      </c>
      <c r="I73" s="9">
        <v>6</v>
      </c>
      <c r="J73" s="11">
        <v>0.32900000000000001</v>
      </c>
      <c r="K73" s="9" t="s">
        <v>48</v>
      </c>
    </row>
    <row r="74" spans="2:11" ht="15" customHeight="1" x14ac:dyDescent="0.3">
      <c r="B74" s="2" t="s">
        <v>109</v>
      </c>
      <c r="C74" s="3">
        <v>45504</v>
      </c>
      <c r="D74" s="4" t="s">
        <v>13</v>
      </c>
      <c r="E74" s="4" t="s">
        <v>34</v>
      </c>
      <c r="F74" s="4" t="s">
        <v>35</v>
      </c>
      <c r="G74" s="5">
        <v>12600</v>
      </c>
      <c r="H74" s="5">
        <v>7900</v>
      </c>
      <c r="I74" s="4">
        <v>6</v>
      </c>
      <c r="J74" s="6">
        <v>0.375</v>
      </c>
      <c r="K74" s="4" t="s">
        <v>16</v>
      </c>
    </row>
    <row r="75" spans="2:11" ht="15" customHeight="1" x14ac:dyDescent="0.3">
      <c r="B75" s="7" t="s">
        <v>110</v>
      </c>
      <c r="C75" s="8">
        <v>45505</v>
      </c>
      <c r="D75" s="9" t="s">
        <v>18</v>
      </c>
      <c r="E75" s="9" t="s">
        <v>38</v>
      </c>
      <c r="F75" s="9" t="s">
        <v>39</v>
      </c>
      <c r="G75" s="10">
        <v>54600</v>
      </c>
      <c r="H75" s="10">
        <v>27100</v>
      </c>
      <c r="I75" s="9">
        <v>5</v>
      </c>
      <c r="J75" s="11">
        <v>0.503</v>
      </c>
      <c r="K75" s="9" t="s">
        <v>21</v>
      </c>
    </row>
    <row r="76" spans="2:11" ht="15" customHeight="1" x14ac:dyDescent="0.3">
      <c r="B76" s="2" t="s">
        <v>111</v>
      </c>
      <c r="C76" s="3">
        <v>45508</v>
      </c>
      <c r="D76" s="4" t="s">
        <v>23</v>
      </c>
      <c r="E76" s="4" t="s">
        <v>14</v>
      </c>
      <c r="F76" s="4" t="s">
        <v>15</v>
      </c>
      <c r="G76" s="5">
        <v>26800</v>
      </c>
      <c r="H76" s="5">
        <v>12900</v>
      </c>
      <c r="I76" s="4">
        <v>1</v>
      </c>
      <c r="J76" s="6">
        <v>0.52</v>
      </c>
      <c r="K76" s="4" t="s">
        <v>26</v>
      </c>
    </row>
    <row r="77" spans="2:11" ht="15" customHeight="1" x14ac:dyDescent="0.3">
      <c r="B77" s="7" t="s">
        <v>112</v>
      </c>
      <c r="C77" s="8">
        <v>45511</v>
      </c>
      <c r="D77" s="9" t="s">
        <v>28</v>
      </c>
      <c r="E77" s="9" t="s">
        <v>19</v>
      </c>
      <c r="F77" s="9" t="s">
        <v>20</v>
      </c>
      <c r="G77" s="10">
        <v>17100</v>
      </c>
      <c r="H77" s="10">
        <v>10200</v>
      </c>
      <c r="I77" s="9">
        <v>2</v>
      </c>
      <c r="J77" s="11">
        <v>0.40100000000000002</v>
      </c>
      <c r="K77" s="9" t="s">
        <v>31</v>
      </c>
    </row>
    <row r="78" spans="2:11" ht="15" customHeight="1" x14ac:dyDescent="0.3">
      <c r="B78" s="2" t="s">
        <v>113</v>
      </c>
      <c r="C78" s="3">
        <v>45515</v>
      </c>
      <c r="D78" s="4" t="s">
        <v>33</v>
      </c>
      <c r="E78" s="4" t="s">
        <v>24</v>
      </c>
      <c r="F78" s="4" t="s">
        <v>25</v>
      </c>
      <c r="G78" s="5">
        <v>26700</v>
      </c>
      <c r="H78" s="5">
        <v>13600</v>
      </c>
      <c r="I78" s="4">
        <v>6</v>
      </c>
      <c r="J78" s="6">
        <v>0.49099999999999999</v>
      </c>
      <c r="K78" s="4" t="s">
        <v>36</v>
      </c>
    </row>
    <row r="79" spans="2:11" ht="15" customHeight="1" x14ac:dyDescent="0.3">
      <c r="B79" s="7" t="s">
        <v>114</v>
      </c>
      <c r="C79" s="8">
        <v>45519</v>
      </c>
      <c r="D79" s="9" t="s">
        <v>13</v>
      </c>
      <c r="E79" s="9" t="s">
        <v>29</v>
      </c>
      <c r="F79" s="9" t="s">
        <v>30</v>
      </c>
      <c r="G79" s="10">
        <v>5700</v>
      </c>
      <c r="H79" s="10">
        <v>3000</v>
      </c>
      <c r="I79" s="9">
        <v>5</v>
      </c>
      <c r="J79" s="11">
        <v>0.48</v>
      </c>
      <c r="K79" s="9" t="s">
        <v>40</v>
      </c>
    </row>
    <row r="80" spans="2:11" ht="15" customHeight="1" x14ac:dyDescent="0.3">
      <c r="B80" s="2" t="s">
        <v>115</v>
      </c>
      <c r="C80" s="3">
        <v>45522</v>
      </c>
      <c r="D80" s="4" t="s">
        <v>18</v>
      </c>
      <c r="E80" s="4" t="s">
        <v>34</v>
      </c>
      <c r="F80" s="4" t="s">
        <v>35</v>
      </c>
      <c r="G80" s="5">
        <v>11200</v>
      </c>
      <c r="H80" s="5">
        <v>5400</v>
      </c>
      <c r="I80" s="4">
        <v>5</v>
      </c>
      <c r="J80" s="6">
        <v>0.51700000000000002</v>
      </c>
      <c r="K80" s="4" t="s">
        <v>42</v>
      </c>
    </row>
    <row r="81" spans="2:11" ht="15" customHeight="1" x14ac:dyDescent="0.3">
      <c r="B81" s="7" t="s">
        <v>116</v>
      </c>
      <c r="C81" s="8">
        <v>45525</v>
      </c>
      <c r="D81" s="9" t="s">
        <v>23</v>
      </c>
      <c r="E81" s="9" t="s">
        <v>38</v>
      </c>
      <c r="F81" s="9" t="s">
        <v>39</v>
      </c>
      <c r="G81" s="10">
        <v>11300</v>
      </c>
      <c r="H81" s="10">
        <v>6600</v>
      </c>
      <c r="I81" s="9">
        <v>1</v>
      </c>
      <c r="J81" s="11">
        <v>0.41299999999999998</v>
      </c>
      <c r="K81" s="9" t="s">
        <v>44</v>
      </c>
    </row>
    <row r="82" spans="2:11" ht="15" customHeight="1" x14ac:dyDescent="0.3">
      <c r="B82" s="2" t="s">
        <v>117</v>
      </c>
      <c r="C82" s="3">
        <v>45526</v>
      </c>
      <c r="D82" s="4" t="s">
        <v>28</v>
      </c>
      <c r="E82" s="4" t="s">
        <v>14</v>
      </c>
      <c r="F82" s="4" t="s">
        <v>15</v>
      </c>
      <c r="G82" s="5">
        <v>57800</v>
      </c>
      <c r="H82" s="5">
        <v>39800</v>
      </c>
      <c r="I82" s="4">
        <v>2</v>
      </c>
      <c r="J82" s="6">
        <v>0.312</v>
      </c>
      <c r="K82" s="4" t="s">
        <v>46</v>
      </c>
    </row>
    <row r="83" spans="2:11" ht="15" customHeight="1" x14ac:dyDescent="0.3">
      <c r="B83" s="7" t="s">
        <v>118</v>
      </c>
      <c r="C83" s="8">
        <v>45530</v>
      </c>
      <c r="D83" s="9" t="s">
        <v>33</v>
      </c>
      <c r="E83" s="9" t="s">
        <v>19</v>
      </c>
      <c r="F83" s="9" t="s">
        <v>20</v>
      </c>
      <c r="G83" s="10">
        <v>17700</v>
      </c>
      <c r="H83" s="10">
        <v>12100</v>
      </c>
      <c r="I83" s="9">
        <v>2</v>
      </c>
      <c r="J83" s="11">
        <v>0.317</v>
      </c>
      <c r="K83" s="9" t="s">
        <v>48</v>
      </c>
    </row>
    <row r="84" spans="2:11" ht="15" customHeight="1" x14ac:dyDescent="0.3">
      <c r="B84" s="2" t="s">
        <v>119</v>
      </c>
      <c r="C84" s="3">
        <v>45534</v>
      </c>
      <c r="D84" s="4" t="s">
        <v>13</v>
      </c>
      <c r="E84" s="4" t="s">
        <v>24</v>
      </c>
      <c r="F84" s="4" t="s">
        <v>25</v>
      </c>
      <c r="G84" s="5">
        <v>17400</v>
      </c>
      <c r="H84" s="5">
        <v>11700</v>
      </c>
      <c r="I84" s="4">
        <v>4</v>
      </c>
      <c r="J84" s="6">
        <v>0.32900000000000001</v>
      </c>
      <c r="K84" s="4" t="s">
        <v>16</v>
      </c>
    </row>
    <row r="85" spans="2:11" ht="15" customHeight="1" x14ac:dyDescent="0.3">
      <c r="B85" s="7" t="s">
        <v>120</v>
      </c>
      <c r="C85" s="8">
        <v>45535</v>
      </c>
      <c r="D85" s="9" t="s">
        <v>18</v>
      </c>
      <c r="E85" s="9" t="s">
        <v>29</v>
      </c>
      <c r="F85" s="9" t="s">
        <v>30</v>
      </c>
      <c r="G85" s="10">
        <v>6000</v>
      </c>
      <c r="H85" s="10">
        <v>4000</v>
      </c>
      <c r="I85" s="9">
        <v>5</v>
      </c>
      <c r="J85" s="11">
        <v>0.34</v>
      </c>
      <c r="K85" s="9" t="s">
        <v>21</v>
      </c>
    </row>
    <row r="86" spans="2:11" ht="15" customHeight="1" x14ac:dyDescent="0.3">
      <c r="B86" s="2" t="s">
        <v>121</v>
      </c>
      <c r="C86" s="3">
        <v>45538</v>
      </c>
      <c r="D86" s="4" t="s">
        <v>23</v>
      </c>
      <c r="E86" s="4" t="s">
        <v>34</v>
      </c>
      <c r="F86" s="4" t="s">
        <v>35</v>
      </c>
      <c r="G86" s="5">
        <v>4500</v>
      </c>
      <c r="H86" s="5">
        <v>2300</v>
      </c>
      <c r="I86" s="4">
        <v>2</v>
      </c>
      <c r="J86" s="6">
        <v>0.47899999999999998</v>
      </c>
      <c r="K86" s="4" t="s">
        <v>26</v>
      </c>
    </row>
    <row r="87" spans="2:11" ht="15" customHeight="1" x14ac:dyDescent="0.3">
      <c r="B87" s="7" t="s">
        <v>122</v>
      </c>
      <c r="C87" s="8">
        <v>45542</v>
      </c>
      <c r="D87" s="9" t="s">
        <v>28</v>
      </c>
      <c r="E87" s="9" t="s">
        <v>38</v>
      </c>
      <c r="F87" s="9" t="s">
        <v>39</v>
      </c>
      <c r="G87" s="10">
        <v>10700</v>
      </c>
      <c r="H87" s="10">
        <v>7400</v>
      </c>
      <c r="I87" s="9">
        <v>1</v>
      </c>
      <c r="J87" s="11">
        <v>0.311</v>
      </c>
      <c r="K87" s="9" t="s">
        <v>31</v>
      </c>
    </row>
    <row r="88" spans="2:11" ht="15" customHeight="1" x14ac:dyDescent="0.3">
      <c r="B88" s="2" t="s">
        <v>123</v>
      </c>
      <c r="C88" s="3">
        <v>45545</v>
      </c>
      <c r="D88" s="4" t="s">
        <v>33</v>
      </c>
      <c r="E88" s="4" t="s">
        <v>14</v>
      </c>
      <c r="F88" s="4" t="s">
        <v>15</v>
      </c>
      <c r="G88" s="5">
        <v>84100</v>
      </c>
      <c r="H88" s="5">
        <v>49500</v>
      </c>
      <c r="I88" s="4">
        <v>3</v>
      </c>
      <c r="J88" s="6">
        <v>0.41199999999999998</v>
      </c>
      <c r="K88" s="4" t="s">
        <v>36</v>
      </c>
    </row>
    <row r="89" spans="2:11" ht="15" customHeight="1" x14ac:dyDescent="0.3">
      <c r="B89" s="7" t="s">
        <v>124</v>
      </c>
      <c r="C89" s="8">
        <v>45549</v>
      </c>
      <c r="D89" s="9" t="s">
        <v>13</v>
      </c>
      <c r="E89" s="9" t="s">
        <v>19</v>
      </c>
      <c r="F89" s="9" t="s">
        <v>20</v>
      </c>
      <c r="G89" s="10">
        <v>8000</v>
      </c>
      <c r="H89" s="10">
        <v>3900</v>
      </c>
      <c r="I89" s="9">
        <v>1</v>
      </c>
      <c r="J89" s="11">
        <v>0.50700000000000001</v>
      </c>
      <c r="K89" s="9" t="s">
        <v>40</v>
      </c>
    </row>
    <row r="90" spans="2:11" ht="15" customHeight="1" x14ac:dyDescent="0.3">
      <c r="B90" s="2" t="s">
        <v>125</v>
      </c>
      <c r="C90" s="3">
        <v>45552</v>
      </c>
      <c r="D90" s="4" t="s">
        <v>18</v>
      </c>
      <c r="E90" s="4" t="s">
        <v>24</v>
      </c>
      <c r="F90" s="4" t="s">
        <v>25</v>
      </c>
      <c r="G90" s="5">
        <v>12700</v>
      </c>
      <c r="H90" s="5">
        <v>6600</v>
      </c>
      <c r="I90" s="4">
        <v>3</v>
      </c>
      <c r="J90" s="6">
        <v>0.48</v>
      </c>
      <c r="K90" s="4" t="s">
        <v>42</v>
      </c>
    </row>
    <row r="91" spans="2:11" ht="15" customHeight="1" x14ac:dyDescent="0.3">
      <c r="B91" s="7" t="s">
        <v>126</v>
      </c>
      <c r="C91" s="8">
        <v>45554</v>
      </c>
      <c r="D91" s="9" t="s">
        <v>23</v>
      </c>
      <c r="E91" s="9" t="s">
        <v>29</v>
      </c>
      <c r="F91" s="9" t="s">
        <v>30</v>
      </c>
      <c r="G91" s="10">
        <v>3600</v>
      </c>
      <c r="H91" s="10">
        <v>2600</v>
      </c>
      <c r="I91" s="9">
        <v>3</v>
      </c>
      <c r="J91" s="11">
        <v>0.28999999999999998</v>
      </c>
      <c r="K91" s="9" t="s">
        <v>44</v>
      </c>
    </row>
    <row r="92" spans="2:11" ht="15" customHeight="1" x14ac:dyDescent="0.3">
      <c r="B92" s="2" t="s">
        <v>127</v>
      </c>
      <c r="C92" s="3">
        <v>45556</v>
      </c>
      <c r="D92" s="4" t="s">
        <v>28</v>
      </c>
      <c r="E92" s="4" t="s">
        <v>34</v>
      </c>
      <c r="F92" s="4" t="s">
        <v>35</v>
      </c>
      <c r="G92" s="5">
        <v>2300</v>
      </c>
      <c r="H92" s="5">
        <v>1500</v>
      </c>
      <c r="I92" s="4">
        <v>1</v>
      </c>
      <c r="J92" s="6">
        <v>0.33</v>
      </c>
      <c r="K92" s="4" t="s">
        <v>46</v>
      </c>
    </row>
    <row r="93" spans="2:11" ht="15" customHeight="1" x14ac:dyDescent="0.3">
      <c r="B93" s="7" t="s">
        <v>128</v>
      </c>
      <c r="C93" s="8">
        <v>45560</v>
      </c>
      <c r="D93" s="9" t="s">
        <v>33</v>
      </c>
      <c r="E93" s="9" t="s">
        <v>38</v>
      </c>
      <c r="F93" s="9" t="s">
        <v>39</v>
      </c>
      <c r="G93" s="10">
        <v>21500</v>
      </c>
      <c r="H93" s="10">
        <v>12600</v>
      </c>
      <c r="I93" s="9">
        <v>2</v>
      </c>
      <c r="J93" s="11">
        <v>0.41399999999999998</v>
      </c>
      <c r="K93" s="9" t="s">
        <v>48</v>
      </c>
    </row>
    <row r="94" spans="2:11" ht="15" customHeight="1" x14ac:dyDescent="0.3">
      <c r="B94" s="2" t="s">
        <v>129</v>
      </c>
      <c r="C94" s="3">
        <v>45562</v>
      </c>
      <c r="D94" s="4" t="s">
        <v>13</v>
      </c>
      <c r="E94" s="4" t="s">
        <v>14</v>
      </c>
      <c r="F94" s="4" t="s">
        <v>15</v>
      </c>
      <c r="G94" s="5">
        <v>86500</v>
      </c>
      <c r="H94" s="5">
        <v>57300</v>
      </c>
      <c r="I94" s="4">
        <v>3</v>
      </c>
      <c r="J94" s="6">
        <v>0.33700000000000002</v>
      </c>
      <c r="K94" s="4" t="s">
        <v>16</v>
      </c>
    </row>
    <row r="95" spans="2:11" ht="15" customHeight="1" x14ac:dyDescent="0.3">
      <c r="B95" s="7" t="s">
        <v>130</v>
      </c>
      <c r="C95" s="8">
        <v>45567</v>
      </c>
      <c r="D95" s="9" t="s">
        <v>18</v>
      </c>
      <c r="E95" s="9" t="s">
        <v>19</v>
      </c>
      <c r="F95" s="9" t="s">
        <v>20</v>
      </c>
      <c r="G95" s="10">
        <v>27100</v>
      </c>
      <c r="H95" s="10">
        <v>19300</v>
      </c>
      <c r="I95" s="9">
        <v>3</v>
      </c>
      <c r="J95" s="11">
        <v>0.28599999999999998</v>
      </c>
      <c r="K95" s="9" t="s">
        <v>21</v>
      </c>
    </row>
    <row r="96" spans="2:11" ht="15" customHeight="1" x14ac:dyDescent="0.3">
      <c r="B96" s="2" t="s">
        <v>131</v>
      </c>
      <c r="C96" s="3">
        <v>45570</v>
      </c>
      <c r="D96" s="4" t="s">
        <v>23</v>
      </c>
      <c r="E96" s="4" t="s">
        <v>24</v>
      </c>
      <c r="F96" s="4" t="s">
        <v>25</v>
      </c>
      <c r="G96" s="5">
        <v>26300</v>
      </c>
      <c r="H96" s="5">
        <v>16300</v>
      </c>
      <c r="I96" s="4">
        <v>6</v>
      </c>
      <c r="J96" s="6">
        <v>0.379</v>
      </c>
      <c r="K96" s="4" t="s">
        <v>26</v>
      </c>
    </row>
    <row r="97" spans="2:11" ht="15" customHeight="1" x14ac:dyDescent="0.3">
      <c r="B97" s="7" t="s">
        <v>132</v>
      </c>
      <c r="C97" s="8">
        <v>45571</v>
      </c>
      <c r="D97" s="9" t="s">
        <v>28</v>
      </c>
      <c r="E97" s="9" t="s">
        <v>29</v>
      </c>
      <c r="F97" s="9" t="s">
        <v>30</v>
      </c>
      <c r="G97" s="10">
        <v>4600</v>
      </c>
      <c r="H97" s="10">
        <v>2400</v>
      </c>
      <c r="I97" s="9">
        <v>4</v>
      </c>
      <c r="J97" s="11">
        <v>0.46899999999999997</v>
      </c>
      <c r="K97" s="9" t="s">
        <v>31</v>
      </c>
    </row>
    <row r="98" spans="2:11" ht="15" customHeight="1" x14ac:dyDescent="0.3">
      <c r="B98" s="2" t="s">
        <v>133</v>
      </c>
      <c r="C98" s="3">
        <v>45574</v>
      </c>
      <c r="D98" s="4" t="s">
        <v>33</v>
      </c>
      <c r="E98" s="4" t="s">
        <v>34</v>
      </c>
      <c r="F98" s="4" t="s">
        <v>35</v>
      </c>
      <c r="G98" s="5">
        <v>16300</v>
      </c>
      <c r="H98" s="5">
        <v>8400</v>
      </c>
      <c r="I98" s="4">
        <v>7</v>
      </c>
      <c r="J98" s="6">
        <v>0.48599999999999999</v>
      </c>
      <c r="K98" s="4" t="s">
        <v>36</v>
      </c>
    </row>
    <row r="99" spans="2:11" ht="15" customHeight="1" x14ac:dyDescent="0.3">
      <c r="B99" s="7" t="s">
        <v>134</v>
      </c>
      <c r="C99" s="8">
        <v>45578</v>
      </c>
      <c r="D99" s="9" t="s">
        <v>13</v>
      </c>
      <c r="E99" s="9" t="s">
        <v>38</v>
      </c>
      <c r="F99" s="9" t="s">
        <v>39</v>
      </c>
      <c r="G99" s="10">
        <v>46200</v>
      </c>
      <c r="H99" s="10">
        <v>28200</v>
      </c>
      <c r="I99" s="9">
        <v>4</v>
      </c>
      <c r="J99" s="11">
        <v>0.39</v>
      </c>
      <c r="K99" s="9" t="s">
        <v>40</v>
      </c>
    </row>
    <row r="100" spans="2:11" ht="15" customHeight="1" x14ac:dyDescent="0.3">
      <c r="B100" s="2" t="s">
        <v>135</v>
      </c>
      <c r="C100" s="3">
        <v>45581</v>
      </c>
      <c r="D100" s="4" t="s">
        <v>18</v>
      </c>
      <c r="E100" s="4" t="s">
        <v>14</v>
      </c>
      <c r="F100" s="4" t="s">
        <v>15</v>
      </c>
      <c r="G100" s="5">
        <v>103200</v>
      </c>
      <c r="H100" s="5">
        <v>58000</v>
      </c>
      <c r="I100" s="4">
        <v>4</v>
      </c>
      <c r="J100" s="6">
        <v>0.438</v>
      </c>
      <c r="K100" s="4" t="s">
        <v>42</v>
      </c>
    </row>
    <row r="101" spans="2:11" ht="15" customHeight="1" x14ac:dyDescent="0.3">
      <c r="B101" s="7" t="s">
        <v>136</v>
      </c>
      <c r="C101" s="8">
        <v>45584</v>
      </c>
      <c r="D101" s="9" t="s">
        <v>23</v>
      </c>
      <c r="E101" s="9" t="s">
        <v>19</v>
      </c>
      <c r="F101" s="9" t="s">
        <v>20</v>
      </c>
      <c r="G101" s="10">
        <v>49200</v>
      </c>
      <c r="H101" s="10">
        <v>34600</v>
      </c>
      <c r="I101" s="9">
        <v>6</v>
      </c>
      <c r="J101" s="11">
        <v>0.29699999999999999</v>
      </c>
      <c r="K101" s="9" t="s">
        <v>44</v>
      </c>
    </row>
    <row r="102" spans="2:11" ht="15" customHeight="1" x14ac:dyDescent="0.3">
      <c r="B102" s="2" t="s">
        <v>137</v>
      </c>
      <c r="C102" s="3">
        <v>45588</v>
      </c>
      <c r="D102" s="4" t="s">
        <v>28</v>
      </c>
      <c r="E102" s="4" t="s">
        <v>24</v>
      </c>
      <c r="F102" s="4" t="s">
        <v>25</v>
      </c>
      <c r="G102" s="5">
        <v>25800</v>
      </c>
      <c r="H102" s="5">
        <v>16100</v>
      </c>
      <c r="I102" s="4">
        <v>6</v>
      </c>
      <c r="J102" s="6">
        <v>0.376</v>
      </c>
      <c r="K102" s="4" t="s">
        <v>46</v>
      </c>
    </row>
    <row r="103" spans="2:11" ht="15" customHeight="1" x14ac:dyDescent="0.3">
      <c r="B103" s="7" t="s">
        <v>138</v>
      </c>
      <c r="C103" s="8">
        <v>45590</v>
      </c>
      <c r="D103" s="9" t="s">
        <v>33</v>
      </c>
      <c r="E103" s="9" t="s">
        <v>29</v>
      </c>
      <c r="F103" s="9" t="s">
        <v>30</v>
      </c>
      <c r="G103" s="10">
        <v>7700</v>
      </c>
      <c r="H103" s="10">
        <v>5300</v>
      </c>
      <c r="I103" s="9">
        <v>6</v>
      </c>
      <c r="J103" s="11">
        <v>0.308</v>
      </c>
      <c r="K103" s="9" t="s">
        <v>48</v>
      </c>
    </row>
    <row r="104" spans="2:11" ht="15" customHeight="1" x14ac:dyDescent="0.3">
      <c r="B104" s="2" t="s">
        <v>139</v>
      </c>
      <c r="C104" s="3">
        <v>45592</v>
      </c>
      <c r="D104" s="4" t="s">
        <v>13</v>
      </c>
      <c r="E104" s="4" t="s">
        <v>34</v>
      </c>
      <c r="F104" s="4" t="s">
        <v>35</v>
      </c>
      <c r="G104" s="5">
        <v>6700</v>
      </c>
      <c r="H104" s="5">
        <v>3200</v>
      </c>
      <c r="I104" s="4">
        <v>3</v>
      </c>
      <c r="J104" s="6">
        <v>0.51600000000000001</v>
      </c>
      <c r="K104" s="4" t="s">
        <v>16</v>
      </c>
    </row>
    <row r="105" spans="2:11" ht="15" customHeight="1" x14ac:dyDescent="0.3">
      <c r="B105" s="7" t="s">
        <v>140</v>
      </c>
      <c r="C105" s="8">
        <v>45596</v>
      </c>
      <c r="D105" s="9" t="s">
        <v>18</v>
      </c>
      <c r="E105" s="9" t="s">
        <v>38</v>
      </c>
      <c r="F105" s="9" t="s">
        <v>39</v>
      </c>
      <c r="G105" s="10">
        <v>22300</v>
      </c>
      <c r="H105" s="10">
        <v>14200</v>
      </c>
      <c r="I105" s="9">
        <v>2</v>
      </c>
      <c r="J105" s="11">
        <v>0.36299999999999999</v>
      </c>
      <c r="K105" s="9" t="s">
        <v>21</v>
      </c>
    </row>
    <row r="106" spans="2:11" ht="15" customHeight="1" x14ac:dyDescent="0.3">
      <c r="B106" s="2" t="s">
        <v>141</v>
      </c>
      <c r="C106" s="3">
        <v>45599</v>
      </c>
      <c r="D106" s="4" t="s">
        <v>23</v>
      </c>
      <c r="E106" s="4" t="s">
        <v>14</v>
      </c>
      <c r="F106" s="4" t="s">
        <v>15</v>
      </c>
      <c r="G106" s="5">
        <v>192200</v>
      </c>
      <c r="H106" s="5">
        <v>114700</v>
      </c>
      <c r="I106" s="4">
        <v>7</v>
      </c>
      <c r="J106" s="6">
        <v>0.40300000000000002</v>
      </c>
      <c r="K106" s="4" t="s">
        <v>26</v>
      </c>
    </row>
    <row r="107" spans="2:11" ht="15" customHeight="1" x14ac:dyDescent="0.3">
      <c r="B107" s="7" t="s">
        <v>142</v>
      </c>
      <c r="C107" s="8">
        <v>45601</v>
      </c>
      <c r="D107" s="9" t="s">
        <v>28</v>
      </c>
      <c r="E107" s="9" t="s">
        <v>19</v>
      </c>
      <c r="F107" s="9" t="s">
        <v>20</v>
      </c>
      <c r="G107" s="10">
        <v>32700</v>
      </c>
      <c r="H107" s="10">
        <v>18000</v>
      </c>
      <c r="I107" s="9">
        <v>4</v>
      </c>
      <c r="J107" s="11">
        <v>0.45</v>
      </c>
      <c r="K107" s="9" t="s">
        <v>31</v>
      </c>
    </row>
    <row r="108" spans="2:11" ht="15" customHeight="1" x14ac:dyDescent="0.3">
      <c r="B108" s="2" t="s">
        <v>143</v>
      </c>
      <c r="C108" s="3">
        <v>45606</v>
      </c>
      <c r="D108" s="4" t="s">
        <v>33</v>
      </c>
      <c r="E108" s="4" t="s">
        <v>24</v>
      </c>
      <c r="F108" s="4" t="s">
        <v>25</v>
      </c>
      <c r="G108" s="5">
        <v>16400</v>
      </c>
      <c r="H108" s="5">
        <v>11500</v>
      </c>
      <c r="I108" s="4">
        <v>4</v>
      </c>
      <c r="J108" s="6">
        <v>0.29699999999999999</v>
      </c>
      <c r="K108" s="4" t="s">
        <v>36</v>
      </c>
    </row>
    <row r="109" spans="2:11" ht="15" customHeight="1" x14ac:dyDescent="0.3">
      <c r="B109" s="7" t="s">
        <v>144</v>
      </c>
      <c r="C109" s="8">
        <v>45607</v>
      </c>
      <c r="D109" s="9" t="s">
        <v>13</v>
      </c>
      <c r="E109" s="9" t="s">
        <v>29</v>
      </c>
      <c r="F109" s="9" t="s">
        <v>30</v>
      </c>
      <c r="G109" s="10">
        <v>7300</v>
      </c>
      <c r="H109" s="10">
        <v>4100</v>
      </c>
      <c r="I109" s="9">
        <v>6</v>
      </c>
      <c r="J109" s="11">
        <v>0.439</v>
      </c>
      <c r="K109" s="9" t="s">
        <v>40</v>
      </c>
    </row>
    <row r="110" spans="2:11" ht="15" customHeight="1" x14ac:dyDescent="0.3">
      <c r="B110" s="2" t="s">
        <v>145</v>
      </c>
      <c r="C110" s="3">
        <v>45611</v>
      </c>
      <c r="D110" s="4" t="s">
        <v>18</v>
      </c>
      <c r="E110" s="4" t="s">
        <v>34</v>
      </c>
      <c r="F110" s="4" t="s">
        <v>35</v>
      </c>
      <c r="G110" s="5">
        <v>11000</v>
      </c>
      <c r="H110" s="5">
        <v>6200</v>
      </c>
      <c r="I110" s="4">
        <v>5</v>
      </c>
      <c r="J110" s="6">
        <v>0.44</v>
      </c>
      <c r="K110" s="4" t="s">
        <v>42</v>
      </c>
    </row>
    <row r="111" spans="2:11" ht="15" customHeight="1" x14ac:dyDescent="0.3">
      <c r="B111" s="7" t="s">
        <v>146</v>
      </c>
      <c r="C111" s="8">
        <v>45613</v>
      </c>
      <c r="D111" s="9" t="s">
        <v>23</v>
      </c>
      <c r="E111" s="9" t="s">
        <v>38</v>
      </c>
      <c r="F111" s="9" t="s">
        <v>39</v>
      </c>
      <c r="G111" s="10">
        <v>79400</v>
      </c>
      <c r="H111" s="10">
        <v>46600</v>
      </c>
      <c r="I111" s="9">
        <v>7</v>
      </c>
      <c r="J111" s="11">
        <v>0.41299999999999998</v>
      </c>
      <c r="K111" s="9" t="s">
        <v>44</v>
      </c>
    </row>
    <row r="112" spans="2:11" ht="15" customHeight="1" x14ac:dyDescent="0.3">
      <c r="B112" s="2" t="s">
        <v>147</v>
      </c>
      <c r="C112" s="3">
        <v>45618</v>
      </c>
      <c r="D112" s="4" t="s">
        <v>28</v>
      </c>
      <c r="E112" s="4" t="s">
        <v>14</v>
      </c>
      <c r="F112" s="4" t="s">
        <v>15</v>
      </c>
      <c r="G112" s="5">
        <v>194000</v>
      </c>
      <c r="H112" s="5">
        <v>122000</v>
      </c>
      <c r="I112" s="4">
        <v>7</v>
      </c>
      <c r="J112" s="6">
        <v>0.371</v>
      </c>
      <c r="K112" s="4" t="s">
        <v>46</v>
      </c>
    </row>
    <row r="113" spans="2:11" ht="15" customHeight="1" x14ac:dyDescent="0.3">
      <c r="B113" s="7" t="s">
        <v>148</v>
      </c>
      <c r="C113" s="8">
        <v>45621</v>
      </c>
      <c r="D113" s="9" t="s">
        <v>33</v>
      </c>
      <c r="E113" s="9" t="s">
        <v>19</v>
      </c>
      <c r="F113" s="9" t="s">
        <v>20</v>
      </c>
      <c r="G113" s="10">
        <v>26000</v>
      </c>
      <c r="H113" s="10">
        <v>16800</v>
      </c>
      <c r="I113" s="9">
        <v>3</v>
      </c>
      <c r="J113" s="11">
        <v>0.35199999999999998</v>
      </c>
      <c r="K113" s="9" t="s">
        <v>48</v>
      </c>
    </row>
    <row r="114" spans="2:11" ht="15" customHeight="1" x14ac:dyDescent="0.3">
      <c r="B114" s="2" t="s">
        <v>149</v>
      </c>
      <c r="C114" s="3">
        <v>45624</v>
      </c>
      <c r="D114" s="4" t="s">
        <v>13</v>
      </c>
      <c r="E114" s="4" t="s">
        <v>24</v>
      </c>
      <c r="F114" s="4" t="s">
        <v>25</v>
      </c>
      <c r="G114" s="5">
        <v>4100</v>
      </c>
      <c r="H114" s="5">
        <v>2700</v>
      </c>
      <c r="I114" s="4">
        <v>1</v>
      </c>
      <c r="J114" s="6">
        <v>0.33</v>
      </c>
      <c r="K114" s="4" t="s">
        <v>16</v>
      </c>
    </row>
    <row r="115" spans="2:11" ht="15" customHeight="1" x14ac:dyDescent="0.3">
      <c r="B115" s="7" t="s">
        <v>150</v>
      </c>
      <c r="C115" s="8">
        <v>45625</v>
      </c>
      <c r="D115" s="9" t="s">
        <v>18</v>
      </c>
      <c r="E115" s="9" t="s">
        <v>29</v>
      </c>
      <c r="F115" s="9" t="s">
        <v>30</v>
      </c>
      <c r="G115" s="10">
        <v>7200</v>
      </c>
      <c r="H115" s="10">
        <v>4400</v>
      </c>
      <c r="I115" s="9">
        <v>6</v>
      </c>
      <c r="J115" s="11">
        <v>0.38600000000000001</v>
      </c>
      <c r="K115" s="9" t="s">
        <v>21</v>
      </c>
    </row>
    <row r="116" spans="2:11" ht="15" customHeight="1" x14ac:dyDescent="0.3">
      <c r="B116" s="2" t="s">
        <v>151</v>
      </c>
      <c r="C116" s="3">
        <v>45630</v>
      </c>
      <c r="D116" s="4" t="s">
        <v>23</v>
      </c>
      <c r="E116" s="4" t="s">
        <v>34</v>
      </c>
      <c r="F116" s="4" t="s">
        <v>35</v>
      </c>
      <c r="G116" s="5">
        <v>18400</v>
      </c>
      <c r="H116" s="5">
        <v>9000</v>
      </c>
      <c r="I116" s="4">
        <v>8</v>
      </c>
      <c r="J116" s="6">
        <v>0.51</v>
      </c>
      <c r="K116" s="4" t="s">
        <v>26</v>
      </c>
    </row>
    <row r="117" spans="2:11" ht="15" customHeight="1" x14ac:dyDescent="0.3">
      <c r="B117" s="7" t="s">
        <v>152</v>
      </c>
      <c r="C117" s="8">
        <v>45633</v>
      </c>
      <c r="D117" s="9" t="s">
        <v>28</v>
      </c>
      <c r="E117" s="9" t="s">
        <v>38</v>
      </c>
      <c r="F117" s="9" t="s">
        <v>39</v>
      </c>
      <c r="G117" s="10">
        <v>33800</v>
      </c>
      <c r="H117" s="10">
        <v>22000</v>
      </c>
      <c r="I117" s="9">
        <v>3</v>
      </c>
      <c r="J117" s="11">
        <v>0.34799999999999998</v>
      </c>
      <c r="K117" s="9" t="s">
        <v>31</v>
      </c>
    </row>
    <row r="118" spans="2:11" ht="15" customHeight="1" x14ac:dyDescent="0.3">
      <c r="B118" s="2" t="s">
        <v>153</v>
      </c>
      <c r="C118" s="3">
        <v>45634</v>
      </c>
      <c r="D118" s="4" t="s">
        <v>33</v>
      </c>
      <c r="E118" s="4" t="s">
        <v>14</v>
      </c>
      <c r="F118" s="4" t="s">
        <v>15</v>
      </c>
      <c r="G118" s="5">
        <v>151500</v>
      </c>
      <c r="H118" s="5">
        <v>74500</v>
      </c>
      <c r="I118" s="4">
        <v>6</v>
      </c>
      <c r="J118" s="6">
        <v>0.50800000000000001</v>
      </c>
      <c r="K118" s="4" t="s">
        <v>36</v>
      </c>
    </row>
    <row r="119" spans="2:11" ht="15" customHeight="1" x14ac:dyDescent="0.3">
      <c r="B119" s="7" t="s">
        <v>154</v>
      </c>
      <c r="C119" s="8">
        <v>45637</v>
      </c>
      <c r="D119" s="9" t="s">
        <v>13</v>
      </c>
      <c r="E119" s="9" t="s">
        <v>19</v>
      </c>
      <c r="F119" s="9" t="s">
        <v>20</v>
      </c>
      <c r="G119" s="10">
        <v>40600</v>
      </c>
      <c r="H119" s="10">
        <v>27300</v>
      </c>
      <c r="I119" s="9">
        <v>5</v>
      </c>
      <c r="J119" s="11">
        <v>0.32800000000000001</v>
      </c>
      <c r="K119" s="9" t="s">
        <v>40</v>
      </c>
    </row>
    <row r="120" spans="2:11" ht="15" customHeight="1" x14ac:dyDescent="0.3">
      <c r="B120" s="2" t="s">
        <v>155</v>
      </c>
      <c r="C120" s="3">
        <v>45640</v>
      </c>
      <c r="D120" s="4" t="s">
        <v>18</v>
      </c>
      <c r="E120" s="4" t="s">
        <v>24</v>
      </c>
      <c r="F120" s="4" t="s">
        <v>25</v>
      </c>
      <c r="G120" s="5">
        <v>4000</v>
      </c>
      <c r="H120" s="5">
        <v>2400</v>
      </c>
      <c r="I120" s="4">
        <v>1</v>
      </c>
      <c r="J120" s="6">
        <v>0.39400000000000002</v>
      </c>
      <c r="K120" s="4" t="s">
        <v>42</v>
      </c>
    </row>
    <row r="121" spans="2:11" ht="15" customHeight="1" x14ac:dyDescent="0.3">
      <c r="B121" s="7" t="s">
        <v>156</v>
      </c>
      <c r="C121" s="8">
        <v>45643</v>
      </c>
      <c r="D121" s="9" t="s">
        <v>23</v>
      </c>
      <c r="E121" s="9" t="s">
        <v>29</v>
      </c>
      <c r="F121" s="9" t="s">
        <v>30</v>
      </c>
      <c r="G121" s="10">
        <v>9500</v>
      </c>
      <c r="H121" s="10">
        <v>5400</v>
      </c>
      <c r="I121" s="9">
        <v>8</v>
      </c>
      <c r="J121" s="11">
        <v>0.43099999999999999</v>
      </c>
      <c r="K121" s="9" t="s">
        <v>44</v>
      </c>
    </row>
    <row r="122" spans="2:11" ht="15" customHeight="1" x14ac:dyDescent="0.3">
      <c r="B122" s="2" t="s">
        <v>157</v>
      </c>
      <c r="C122" s="3">
        <v>45648</v>
      </c>
      <c r="D122" s="4" t="s">
        <v>28</v>
      </c>
      <c r="E122" s="4" t="s">
        <v>34</v>
      </c>
      <c r="F122" s="4" t="s">
        <v>35</v>
      </c>
      <c r="G122" s="5">
        <v>15400</v>
      </c>
      <c r="H122" s="5">
        <v>10200</v>
      </c>
      <c r="I122" s="4">
        <v>7</v>
      </c>
      <c r="J122" s="6">
        <v>0.33900000000000002</v>
      </c>
      <c r="K122" s="4" t="s">
        <v>46</v>
      </c>
    </row>
    <row r="123" spans="2:11" ht="15" customHeight="1" x14ac:dyDescent="0.3">
      <c r="B123" s="7" t="s">
        <v>158</v>
      </c>
      <c r="C123" s="8">
        <v>45649</v>
      </c>
      <c r="D123" s="9" t="s">
        <v>33</v>
      </c>
      <c r="E123" s="9" t="s">
        <v>38</v>
      </c>
      <c r="F123" s="9" t="s">
        <v>39</v>
      </c>
      <c r="G123" s="10">
        <v>11700</v>
      </c>
      <c r="H123" s="10">
        <v>6000</v>
      </c>
      <c r="I123" s="9">
        <v>1</v>
      </c>
      <c r="J123" s="11">
        <v>0.48699999999999999</v>
      </c>
      <c r="K123" s="9" t="s">
        <v>48</v>
      </c>
    </row>
    <row r="124" spans="2:11" ht="15" customHeight="1" x14ac:dyDescent="0.3">
      <c r="B124" s="2" t="s">
        <v>159</v>
      </c>
      <c r="C124" s="3">
        <v>45654</v>
      </c>
      <c r="D124" s="4" t="s">
        <v>13</v>
      </c>
      <c r="E124" s="4" t="s">
        <v>14</v>
      </c>
      <c r="F124" s="4" t="s">
        <v>15</v>
      </c>
      <c r="G124" s="5">
        <v>180500</v>
      </c>
      <c r="H124" s="5">
        <v>95100</v>
      </c>
      <c r="I124" s="4">
        <v>7</v>
      </c>
      <c r="J124" s="6">
        <v>0.47299999999999998</v>
      </c>
      <c r="K124" s="4" t="s">
        <v>16</v>
      </c>
    </row>
    <row r="125" spans="2:11" ht="15" customHeight="1" x14ac:dyDescent="0.3">
      <c r="B125" s="7" t="s">
        <v>160</v>
      </c>
      <c r="C125" s="8">
        <v>45655</v>
      </c>
      <c r="D125" s="9" t="s">
        <v>18</v>
      </c>
      <c r="E125" s="9" t="s">
        <v>19</v>
      </c>
      <c r="F125" s="9" t="s">
        <v>20</v>
      </c>
      <c r="G125" s="10">
        <v>63100</v>
      </c>
      <c r="H125" s="10">
        <v>41600</v>
      </c>
      <c r="I125" s="9">
        <v>8</v>
      </c>
      <c r="J125" s="11">
        <v>0.34</v>
      </c>
      <c r="K125" s="9" t="s">
        <v>21</v>
      </c>
    </row>
    <row r="126" spans="2:11" ht="15" customHeight="1" x14ac:dyDescent="0.3">
      <c r="B126" s="2" t="s">
        <v>161</v>
      </c>
      <c r="C126" s="3">
        <v>45660</v>
      </c>
      <c r="D126" s="4" t="s">
        <v>23</v>
      </c>
      <c r="E126" s="4" t="s">
        <v>24</v>
      </c>
      <c r="F126" s="4" t="s">
        <v>25</v>
      </c>
      <c r="G126" s="5">
        <v>31600</v>
      </c>
      <c r="H126" s="5">
        <v>19200</v>
      </c>
      <c r="I126" s="4">
        <v>8</v>
      </c>
      <c r="J126" s="6">
        <v>0.39200000000000002</v>
      </c>
      <c r="K126" s="4" t="s">
        <v>26</v>
      </c>
    </row>
    <row r="127" spans="2:11" ht="15" customHeight="1" x14ac:dyDescent="0.3">
      <c r="B127" s="7" t="s">
        <v>162</v>
      </c>
      <c r="C127" s="8">
        <v>45663</v>
      </c>
      <c r="D127" s="9" t="s">
        <v>28</v>
      </c>
      <c r="E127" s="9" t="s">
        <v>29</v>
      </c>
      <c r="F127" s="9" t="s">
        <v>30</v>
      </c>
      <c r="G127" s="10">
        <v>7700</v>
      </c>
      <c r="H127" s="10">
        <v>3900</v>
      </c>
      <c r="I127" s="9">
        <v>6</v>
      </c>
      <c r="J127" s="11">
        <v>0.49399999999999999</v>
      </c>
      <c r="K127" s="9" t="s">
        <v>31</v>
      </c>
    </row>
    <row r="128" spans="2:11" ht="15" customHeight="1" x14ac:dyDescent="0.3">
      <c r="B128" s="2" t="s">
        <v>163</v>
      </c>
      <c r="C128" s="3">
        <v>45664</v>
      </c>
      <c r="D128" s="4" t="s">
        <v>33</v>
      </c>
      <c r="E128" s="4" t="s">
        <v>34</v>
      </c>
      <c r="F128" s="4" t="s">
        <v>35</v>
      </c>
      <c r="G128" s="5">
        <v>16200</v>
      </c>
      <c r="H128" s="5">
        <v>9500</v>
      </c>
      <c r="I128" s="4">
        <v>7</v>
      </c>
      <c r="J128" s="6">
        <v>0.41099999999999998</v>
      </c>
      <c r="K128" s="4" t="s">
        <v>36</v>
      </c>
    </row>
    <row r="129" spans="2:11" ht="15" customHeight="1" x14ac:dyDescent="0.3">
      <c r="B129" s="7" t="s">
        <v>164</v>
      </c>
      <c r="C129" s="8">
        <v>45669</v>
      </c>
      <c r="D129" s="9" t="s">
        <v>13</v>
      </c>
      <c r="E129" s="9" t="s">
        <v>38</v>
      </c>
      <c r="F129" s="9" t="s">
        <v>39</v>
      </c>
      <c r="G129" s="10">
        <v>87300</v>
      </c>
      <c r="H129" s="10">
        <v>47100</v>
      </c>
      <c r="I129" s="9">
        <v>8</v>
      </c>
      <c r="J129" s="11">
        <v>0.46</v>
      </c>
      <c r="K129" s="9" t="s">
        <v>40</v>
      </c>
    </row>
    <row r="130" spans="2:11" ht="15" customHeight="1" x14ac:dyDescent="0.3">
      <c r="B130" s="2" t="s">
        <v>165</v>
      </c>
      <c r="C130" s="3">
        <v>45672</v>
      </c>
      <c r="D130" s="4" t="s">
        <v>18</v>
      </c>
      <c r="E130" s="4" t="s">
        <v>14</v>
      </c>
      <c r="F130" s="4" t="s">
        <v>15</v>
      </c>
      <c r="G130" s="5">
        <v>140700</v>
      </c>
      <c r="H130" s="5">
        <v>83700</v>
      </c>
      <c r="I130" s="4">
        <v>5</v>
      </c>
      <c r="J130" s="6">
        <v>0.40500000000000003</v>
      </c>
      <c r="K130" s="4" t="s">
        <v>42</v>
      </c>
    </row>
    <row r="131" spans="2:11" ht="15" customHeight="1" x14ac:dyDescent="0.3">
      <c r="B131" s="7" t="s">
        <v>166</v>
      </c>
      <c r="C131" s="8">
        <v>45674</v>
      </c>
      <c r="D131" s="9" t="s">
        <v>23</v>
      </c>
      <c r="E131" s="9" t="s">
        <v>19</v>
      </c>
      <c r="F131" s="9" t="s">
        <v>20</v>
      </c>
      <c r="G131" s="10">
        <v>32800</v>
      </c>
      <c r="H131" s="10">
        <v>23000</v>
      </c>
      <c r="I131" s="9">
        <v>4</v>
      </c>
      <c r="J131" s="11">
        <v>0.29899999999999999</v>
      </c>
      <c r="K131" s="9" t="s">
        <v>44</v>
      </c>
    </row>
    <row r="132" spans="2:11" ht="15" customHeight="1" x14ac:dyDescent="0.3">
      <c r="B132" s="2" t="s">
        <v>167</v>
      </c>
      <c r="C132" s="3">
        <v>45678</v>
      </c>
      <c r="D132" s="4" t="s">
        <v>28</v>
      </c>
      <c r="E132" s="4" t="s">
        <v>24</v>
      </c>
      <c r="F132" s="4" t="s">
        <v>25</v>
      </c>
      <c r="G132" s="5">
        <v>16200</v>
      </c>
      <c r="H132" s="5">
        <v>10400</v>
      </c>
      <c r="I132" s="4">
        <v>4</v>
      </c>
      <c r="J132" s="6">
        <v>0.35699999999999998</v>
      </c>
      <c r="K132" s="4" t="s">
        <v>46</v>
      </c>
    </row>
    <row r="133" spans="2:11" ht="15" customHeight="1" x14ac:dyDescent="0.3">
      <c r="B133" s="7" t="s">
        <v>168</v>
      </c>
      <c r="C133" s="8">
        <v>45681</v>
      </c>
      <c r="D133" s="9" t="s">
        <v>33</v>
      </c>
      <c r="E133" s="9" t="s">
        <v>29</v>
      </c>
      <c r="F133" s="9" t="s">
        <v>30</v>
      </c>
      <c r="G133" s="10">
        <v>2300</v>
      </c>
      <c r="H133" s="10">
        <v>1500</v>
      </c>
      <c r="I133" s="9">
        <v>2</v>
      </c>
      <c r="J133" s="11">
        <v>0.33600000000000002</v>
      </c>
      <c r="K133" s="9" t="s">
        <v>48</v>
      </c>
    </row>
    <row r="134" spans="2:11" ht="15" customHeight="1" x14ac:dyDescent="0.3">
      <c r="B134" s="2" t="s">
        <v>169</v>
      </c>
      <c r="C134" s="3">
        <v>45683</v>
      </c>
      <c r="D134" s="4" t="s">
        <v>13</v>
      </c>
      <c r="E134" s="4" t="s">
        <v>34</v>
      </c>
      <c r="F134" s="4" t="s">
        <v>35</v>
      </c>
      <c r="G134" s="5">
        <v>6800</v>
      </c>
      <c r="H134" s="5">
        <v>4800</v>
      </c>
      <c r="I134" s="4">
        <v>3</v>
      </c>
      <c r="J134" s="6">
        <v>0.29499999999999998</v>
      </c>
      <c r="K134" s="4" t="s">
        <v>16</v>
      </c>
    </row>
    <row r="135" spans="2:11" ht="15" customHeight="1" x14ac:dyDescent="0.3">
      <c r="B135" s="7" t="s">
        <v>170</v>
      </c>
      <c r="C135" s="8">
        <v>45685</v>
      </c>
      <c r="D135" s="9" t="s">
        <v>18</v>
      </c>
      <c r="E135" s="9" t="s">
        <v>38</v>
      </c>
      <c r="F135" s="9" t="s">
        <v>39</v>
      </c>
      <c r="G135" s="10">
        <v>66400</v>
      </c>
      <c r="H135" s="10">
        <v>41200</v>
      </c>
      <c r="I135" s="9">
        <v>6</v>
      </c>
      <c r="J135" s="11">
        <v>0.38</v>
      </c>
      <c r="K135" s="9" t="s">
        <v>21</v>
      </c>
    </row>
    <row r="136" spans="2:11" ht="15" customHeight="1" x14ac:dyDescent="0.3">
      <c r="B136" s="2" t="s">
        <v>171</v>
      </c>
      <c r="C136" s="3">
        <v>45690</v>
      </c>
      <c r="D136" s="4" t="s">
        <v>23</v>
      </c>
      <c r="E136" s="4" t="s">
        <v>14</v>
      </c>
      <c r="F136" s="4" t="s">
        <v>15</v>
      </c>
      <c r="G136" s="5">
        <v>185700</v>
      </c>
      <c r="H136" s="5">
        <v>99300</v>
      </c>
      <c r="I136" s="4">
        <v>7</v>
      </c>
      <c r="J136" s="6">
        <v>0.46500000000000002</v>
      </c>
      <c r="K136" s="4" t="s">
        <v>26</v>
      </c>
    </row>
    <row r="137" spans="2:11" ht="15" customHeight="1" x14ac:dyDescent="0.3">
      <c r="B137" s="7" t="s">
        <v>172</v>
      </c>
      <c r="C137" s="8">
        <v>45692</v>
      </c>
      <c r="D137" s="9" t="s">
        <v>28</v>
      </c>
      <c r="E137" s="9" t="s">
        <v>19</v>
      </c>
      <c r="F137" s="9" t="s">
        <v>20</v>
      </c>
      <c r="G137" s="10">
        <v>9000</v>
      </c>
      <c r="H137" s="10">
        <v>4800</v>
      </c>
      <c r="I137" s="9">
        <v>1</v>
      </c>
      <c r="J137" s="11">
        <v>0.46400000000000002</v>
      </c>
      <c r="K137" s="9" t="s">
        <v>31</v>
      </c>
    </row>
    <row r="138" spans="2:11" ht="15" customHeight="1" x14ac:dyDescent="0.3">
      <c r="B138" s="2" t="s">
        <v>173</v>
      </c>
      <c r="C138" s="3">
        <v>45695</v>
      </c>
      <c r="D138" s="4" t="s">
        <v>33</v>
      </c>
      <c r="E138" s="4" t="s">
        <v>24</v>
      </c>
      <c r="F138" s="4" t="s">
        <v>25</v>
      </c>
      <c r="G138" s="5">
        <v>30900</v>
      </c>
      <c r="H138" s="5">
        <v>19700</v>
      </c>
      <c r="I138" s="4">
        <v>8</v>
      </c>
      <c r="J138" s="6">
        <v>0.36399999999999999</v>
      </c>
      <c r="K138" s="4" t="s">
        <v>36</v>
      </c>
    </row>
    <row r="139" spans="2:11" ht="15" customHeight="1" x14ac:dyDescent="0.3">
      <c r="B139" s="7" t="s">
        <v>174</v>
      </c>
      <c r="C139" s="8">
        <v>45699</v>
      </c>
      <c r="D139" s="9" t="s">
        <v>13</v>
      </c>
      <c r="E139" s="9" t="s">
        <v>29</v>
      </c>
      <c r="F139" s="9" t="s">
        <v>30</v>
      </c>
      <c r="G139" s="10">
        <v>8500</v>
      </c>
      <c r="H139" s="10">
        <v>4600</v>
      </c>
      <c r="I139" s="9">
        <v>7</v>
      </c>
      <c r="J139" s="11">
        <v>0.45600000000000002</v>
      </c>
      <c r="K139" s="9" t="s">
        <v>40</v>
      </c>
    </row>
    <row r="140" spans="2:11" ht="15" customHeight="1" x14ac:dyDescent="0.3">
      <c r="B140" s="2" t="s">
        <v>175</v>
      </c>
      <c r="C140" s="3">
        <v>45701</v>
      </c>
      <c r="D140" s="4" t="s">
        <v>18</v>
      </c>
      <c r="E140" s="4" t="s">
        <v>34</v>
      </c>
      <c r="F140" s="4" t="s">
        <v>35</v>
      </c>
      <c r="G140" s="5">
        <v>8800</v>
      </c>
      <c r="H140" s="5">
        <v>5800</v>
      </c>
      <c r="I140" s="4">
        <v>4</v>
      </c>
      <c r="J140" s="6">
        <v>0.34599999999999997</v>
      </c>
      <c r="K140" s="4" t="s">
        <v>42</v>
      </c>
    </row>
    <row r="141" spans="2:11" ht="15" customHeight="1" x14ac:dyDescent="0.3">
      <c r="B141" s="7" t="s">
        <v>176</v>
      </c>
      <c r="C141" s="8">
        <v>45704</v>
      </c>
      <c r="D141" s="9" t="s">
        <v>23</v>
      </c>
      <c r="E141" s="9" t="s">
        <v>38</v>
      </c>
      <c r="F141" s="9" t="s">
        <v>39</v>
      </c>
      <c r="G141" s="10">
        <v>10800</v>
      </c>
      <c r="H141" s="10">
        <v>6000</v>
      </c>
      <c r="I141" s="9">
        <v>1</v>
      </c>
      <c r="J141" s="11">
        <v>0.441</v>
      </c>
      <c r="K141" s="9" t="s">
        <v>44</v>
      </c>
    </row>
    <row r="142" spans="2:11" ht="15" customHeight="1" x14ac:dyDescent="0.3">
      <c r="B142" s="2" t="s">
        <v>177</v>
      </c>
      <c r="C142" s="3">
        <v>45708</v>
      </c>
      <c r="D142" s="4" t="s">
        <v>28</v>
      </c>
      <c r="E142" s="4" t="s">
        <v>14</v>
      </c>
      <c r="F142" s="4" t="s">
        <v>15</v>
      </c>
      <c r="G142" s="5">
        <v>85400</v>
      </c>
      <c r="H142" s="5">
        <v>42600</v>
      </c>
      <c r="I142" s="4">
        <v>3</v>
      </c>
      <c r="J142" s="6">
        <v>0.501</v>
      </c>
      <c r="K142" s="4" t="s">
        <v>46</v>
      </c>
    </row>
    <row r="143" spans="2:11" ht="15" customHeight="1" x14ac:dyDescent="0.3">
      <c r="B143" s="7" t="s">
        <v>178</v>
      </c>
      <c r="C143" s="8">
        <v>45711</v>
      </c>
      <c r="D143" s="9" t="s">
        <v>33</v>
      </c>
      <c r="E143" s="9" t="s">
        <v>19</v>
      </c>
      <c r="F143" s="9" t="s">
        <v>20</v>
      </c>
      <c r="G143" s="10">
        <v>9100</v>
      </c>
      <c r="H143" s="10">
        <v>5300</v>
      </c>
      <c r="I143" s="9">
        <v>1</v>
      </c>
      <c r="J143" s="11">
        <v>0.42199999999999999</v>
      </c>
      <c r="K143" s="9" t="s">
        <v>48</v>
      </c>
    </row>
    <row r="144" spans="2:11" ht="15" customHeight="1" x14ac:dyDescent="0.3">
      <c r="B144" s="2" t="s">
        <v>179</v>
      </c>
      <c r="C144" s="3">
        <v>45713</v>
      </c>
      <c r="D144" s="4" t="s">
        <v>13</v>
      </c>
      <c r="E144" s="4" t="s">
        <v>24</v>
      </c>
      <c r="F144" s="4" t="s">
        <v>25</v>
      </c>
      <c r="G144" s="5">
        <v>3900</v>
      </c>
      <c r="H144" s="5">
        <v>2400</v>
      </c>
      <c r="I144" s="4">
        <v>1</v>
      </c>
      <c r="J144" s="6">
        <v>0.38300000000000001</v>
      </c>
      <c r="K144" s="4" t="s">
        <v>16</v>
      </c>
    </row>
    <row r="145" spans="2:11" ht="15" customHeight="1" x14ac:dyDescent="0.3">
      <c r="B145" s="7" t="s">
        <v>180</v>
      </c>
      <c r="C145" s="8">
        <v>45715</v>
      </c>
      <c r="D145" s="9" t="s">
        <v>18</v>
      </c>
      <c r="E145" s="9" t="s">
        <v>29</v>
      </c>
      <c r="F145" s="9" t="s">
        <v>30</v>
      </c>
      <c r="G145" s="10">
        <v>3300</v>
      </c>
      <c r="H145" s="10">
        <v>2100</v>
      </c>
      <c r="I145" s="9">
        <v>3</v>
      </c>
      <c r="J145" s="11">
        <v>0.371</v>
      </c>
      <c r="K145" s="9" t="s">
        <v>21</v>
      </c>
    </row>
    <row r="146" spans="2:11" ht="15" customHeight="1" x14ac:dyDescent="0.3">
      <c r="B146" s="2" t="s">
        <v>181</v>
      </c>
      <c r="C146" s="3">
        <v>45719</v>
      </c>
      <c r="D146" s="4" t="s">
        <v>23</v>
      </c>
      <c r="E146" s="4" t="s">
        <v>34</v>
      </c>
      <c r="F146" s="4" t="s">
        <v>35</v>
      </c>
      <c r="G146" s="5">
        <v>17100</v>
      </c>
      <c r="H146" s="5">
        <v>9200</v>
      </c>
      <c r="I146" s="4">
        <v>8</v>
      </c>
      <c r="J146" s="6">
        <v>0.46300000000000002</v>
      </c>
      <c r="K146" s="4" t="s">
        <v>26</v>
      </c>
    </row>
    <row r="147" spans="2:11" ht="15" customHeight="1" x14ac:dyDescent="0.3">
      <c r="B147" s="7" t="s">
        <v>182</v>
      </c>
      <c r="C147" s="8">
        <v>45722</v>
      </c>
      <c r="D147" s="9" t="s">
        <v>28</v>
      </c>
      <c r="E147" s="9" t="s">
        <v>38</v>
      </c>
      <c r="F147" s="9" t="s">
        <v>39</v>
      </c>
      <c r="G147" s="10">
        <v>57200</v>
      </c>
      <c r="H147" s="10">
        <v>29700</v>
      </c>
      <c r="I147" s="9">
        <v>5</v>
      </c>
      <c r="J147" s="11">
        <v>0.48</v>
      </c>
      <c r="K147" s="9" t="s">
        <v>31</v>
      </c>
    </row>
    <row r="148" spans="2:11" ht="15" customHeight="1" x14ac:dyDescent="0.3">
      <c r="B148" s="2" t="s">
        <v>183</v>
      </c>
      <c r="C148" s="3">
        <v>45724</v>
      </c>
      <c r="D148" s="4" t="s">
        <v>33</v>
      </c>
      <c r="E148" s="4" t="s">
        <v>14</v>
      </c>
      <c r="F148" s="4" t="s">
        <v>15</v>
      </c>
      <c r="G148" s="5">
        <v>53700</v>
      </c>
      <c r="H148" s="5">
        <v>29000</v>
      </c>
      <c r="I148" s="4">
        <v>2</v>
      </c>
      <c r="J148" s="6">
        <v>0.46</v>
      </c>
      <c r="K148" s="4" t="s">
        <v>36</v>
      </c>
    </row>
    <row r="149" spans="2:11" ht="15" customHeight="1" x14ac:dyDescent="0.3">
      <c r="B149" s="7" t="s">
        <v>184</v>
      </c>
      <c r="C149" s="8">
        <v>45729</v>
      </c>
      <c r="D149" s="9" t="s">
        <v>13</v>
      </c>
      <c r="E149" s="9" t="s">
        <v>19</v>
      </c>
      <c r="F149" s="9" t="s">
        <v>20</v>
      </c>
      <c r="G149" s="10">
        <v>48700</v>
      </c>
      <c r="H149" s="10">
        <v>34300</v>
      </c>
      <c r="I149" s="9">
        <v>6</v>
      </c>
      <c r="J149" s="11">
        <v>0.29599999999999999</v>
      </c>
      <c r="K149" s="9" t="s">
        <v>40</v>
      </c>
    </row>
    <row r="150" spans="2:11" ht="15" customHeight="1" x14ac:dyDescent="0.3">
      <c r="B150" s="2" t="s">
        <v>185</v>
      </c>
      <c r="C150" s="3">
        <v>45730</v>
      </c>
      <c r="D150" s="4" t="s">
        <v>18</v>
      </c>
      <c r="E150" s="4" t="s">
        <v>24</v>
      </c>
      <c r="F150" s="4" t="s">
        <v>25</v>
      </c>
      <c r="G150" s="5">
        <v>4400</v>
      </c>
      <c r="H150" s="5">
        <v>2200</v>
      </c>
      <c r="I150" s="4">
        <v>1</v>
      </c>
      <c r="J150" s="6">
        <v>0.50800000000000001</v>
      </c>
      <c r="K150" s="4" t="s">
        <v>42</v>
      </c>
    </row>
    <row r="151" spans="2:11" ht="15" customHeight="1" x14ac:dyDescent="0.3">
      <c r="B151" s="7" t="s">
        <v>186</v>
      </c>
      <c r="C151" s="8">
        <v>45734</v>
      </c>
      <c r="D151" s="9" t="s">
        <v>23</v>
      </c>
      <c r="E151" s="9" t="s">
        <v>29</v>
      </c>
      <c r="F151" s="9" t="s">
        <v>30</v>
      </c>
      <c r="G151" s="10">
        <v>1200</v>
      </c>
      <c r="H151" s="10">
        <v>800</v>
      </c>
      <c r="I151" s="9">
        <v>1</v>
      </c>
      <c r="J151" s="11">
        <v>0.33700000000000002</v>
      </c>
      <c r="K151" s="9" t="s">
        <v>44</v>
      </c>
    </row>
    <row r="152" spans="2:11" ht="15" customHeight="1" x14ac:dyDescent="0.3">
      <c r="B152" s="2" t="s">
        <v>187</v>
      </c>
      <c r="C152" s="3">
        <v>45738</v>
      </c>
      <c r="D152" s="4" t="s">
        <v>28</v>
      </c>
      <c r="E152" s="4" t="s">
        <v>34</v>
      </c>
      <c r="F152" s="4" t="s">
        <v>35</v>
      </c>
      <c r="G152" s="5">
        <v>4400</v>
      </c>
      <c r="H152" s="5">
        <v>2900</v>
      </c>
      <c r="I152" s="4">
        <v>2</v>
      </c>
      <c r="J152" s="6">
        <v>0.33200000000000002</v>
      </c>
      <c r="K152" s="4" t="s">
        <v>46</v>
      </c>
    </row>
    <row r="153" spans="2:11" ht="15" customHeight="1" x14ac:dyDescent="0.3">
      <c r="B153" s="7" t="s">
        <v>188</v>
      </c>
      <c r="C153" s="8">
        <v>45741</v>
      </c>
      <c r="D153" s="9" t="s">
        <v>33</v>
      </c>
      <c r="E153" s="9" t="s">
        <v>38</v>
      </c>
      <c r="F153" s="9" t="s">
        <v>39</v>
      </c>
      <c r="G153" s="10">
        <v>57300</v>
      </c>
      <c r="H153" s="10">
        <v>39000</v>
      </c>
      <c r="I153" s="9">
        <v>5</v>
      </c>
      <c r="J153" s="11">
        <v>0.32</v>
      </c>
      <c r="K153" s="9" t="s">
        <v>48</v>
      </c>
    </row>
  </sheetData>
  <mergeCells count="2">
    <mergeCell ref="B1:J1"/>
    <mergeCell ref="B2:J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75623"/>
  </sheetPr>
  <dimension ref="B1:K81"/>
  <sheetViews>
    <sheetView tabSelected="1" zoomScaleNormal="100" workbookViewId="0">
      <pane xSplit="1" ySplit="2" topLeftCell="B6" activePane="bottomRight" state="frozen"/>
      <selection pane="topRight" activeCell="B1" sqref="B1"/>
      <selection pane="bottomLeft" activeCell="A3" sqref="A3"/>
      <selection pane="bottomRight" activeCell="K18" sqref="K18"/>
    </sheetView>
  </sheetViews>
  <sheetFormatPr defaultColWidth="8.6640625" defaultRowHeight="14.4" x14ac:dyDescent="0.3"/>
  <cols>
    <col min="1" max="1" width="2" customWidth="1"/>
    <col min="2" max="11" width="14" customWidth="1"/>
    <col min="12" max="12" width="2" customWidth="1"/>
  </cols>
  <sheetData>
    <row r="1" spans="2:11" ht="36" customHeight="1" x14ac:dyDescent="0.3">
      <c r="B1" s="78" t="s">
        <v>189</v>
      </c>
      <c r="C1" s="78"/>
      <c r="D1" s="78"/>
      <c r="E1" s="78"/>
      <c r="F1" s="78"/>
      <c r="G1" s="78"/>
      <c r="H1" s="78"/>
      <c r="I1" s="78"/>
      <c r="J1" s="78"/>
      <c r="K1" s="78"/>
    </row>
    <row r="2" spans="2:11" ht="15.75" customHeight="1" x14ac:dyDescent="0.3">
      <c r="B2" s="79" t="s">
        <v>190</v>
      </c>
      <c r="C2" s="79"/>
      <c r="D2" s="79"/>
      <c r="E2" s="79"/>
      <c r="F2" s="79"/>
      <c r="G2" s="79"/>
      <c r="H2" s="79"/>
      <c r="I2" s="79"/>
      <c r="J2" s="79"/>
      <c r="K2" s="79"/>
    </row>
    <row r="3" spans="2:11" ht="19.5" customHeight="1" x14ac:dyDescent="0.3">
      <c r="B3" s="80" t="s">
        <v>191</v>
      </c>
      <c r="C3" s="80"/>
      <c r="D3" s="80"/>
      <c r="E3" s="80"/>
      <c r="F3" s="80"/>
      <c r="G3" s="80"/>
      <c r="H3" s="80"/>
      <c r="I3" s="80"/>
      <c r="J3" s="80"/>
      <c r="K3" s="80"/>
    </row>
    <row r="4" spans="2:11" ht="19.5" customHeight="1" x14ac:dyDescent="0.3">
      <c r="B4" s="81" t="s">
        <v>192</v>
      </c>
      <c r="C4" s="81"/>
      <c r="D4" s="82" t="s">
        <v>193</v>
      </c>
      <c r="E4" s="82"/>
      <c r="F4" s="82" t="s">
        <v>194</v>
      </c>
      <c r="G4" s="82"/>
      <c r="H4" s="83" t="s">
        <v>195</v>
      </c>
      <c r="I4" s="83"/>
      <c r="J4" s="84" t="s">
        <v>196</v>
      </c>
      <c r="K4" s="84"/>
    </row>
    <row r="5" spans="2:11" ht="31.5" customHeight="1" x14ac:dyDescent="0.3">
      <c r="B5" s="85">
        <f>SUMIF('Raw Data'!B4:B153,"*",'Raw Data'!G4:G153)</f>
        <v>5671300</v>
      </c>
      <c r="C5" s="85"/>
      <c r="D5" s="86">
        <f>COUNTA('Raw Data'!B4:B153)</f>
        <v>150</v>
      </c>
      <c r="E5" s="86"/>
      <c r="F5" s="86">
        <f>AVERAGEIF('Raw Data'!B4:B153,"*",'Raw Data'!G4:G153)</f>
        <v>37808.666666666664</v>
      </c>
      <c r="G5" s="86"/>
      <c r="H5" s="87">
        <f>SUM('Raw Data'!I4:I153)</f>
        <v>629</v>
      </c>
      <c r="I5" s="87"/>
      <c r="J5" s="88">
        <f>AVERAGE('Raw Data'!J4:J153)</f>
        <v>0.40434666666666658</v>
      </c>
      <c r="K5" s="88"/>
    </row>
    <row r="6" spans="2:11" ht="7.5" customHeight="1" x14ac:dyDescent="0.3">
      <c r="B6" s="89"/>
      <c r="C6" s="89"/>
      <c r="D6" s="90"/>
      <c r="E6" s="90"/>
      <c r="F6" s="90"/>
      <c r="G6" s="90"/>
      <c r="H6" s="91"/>
      <c r="I6" s="91"/>
      <c r="J6" s="92"/>
      <c r="K6" s="92"/>
    </row>
    <row r="7" spans="2:11" ht="6" customHeight="1" x14ac:dyDescent="0.3"/>
    <row r="8" spans="2:11" ht="19.5" customHeight="1" x14ac:dyDescent="0.3">
      <c r="B8" s="80" t="s">
        <v>197</v>
      </c>
      <c r="C8" s="80"/>
      <c r="D8" s="80"/>
      <c r="E8" s="80"/>
      <c r="F8" s="80"/>
      <c r="G8" s="80"/>
      <c r="H8" s="80"/>
      <c r="I8" s="80"/>
      <c r="J8" s="80"/>
      <c r="K8" s="80"/>
    </row>
    <row r="9" spans="2:11" ht="19.5" customHeight="1" x14ac:dyDescent="0.3">
      <c r="B9" s="1" t="s">
        <v>4</v>
      </c>
      <c r="C9" s="1" t="s">
        <v>192</v>
      </c>
      <c r="D9" s="1" t="s">
        <v>198</v>
      </c>
      <c r="E9" s="1" t="s">
        <v>193</v>
      </c>
      <c r="F9" s="1" t="s">
        <v>194</v>
      </c>
      <c r="G9" s="1" t="s">
        <v>196</v>
      </c>
      <c r="H9" s="1" t="s">
        <v>199</v>
      </c>
    </row>
    <row r="10" spans="2:11" ht="19.5" customHeight="1" x14ac:dyDescent="0.3">
      <c r="B10" s="12" t="s">
        <v>23</v>
      </c>
      <c r="C10" s="13">
        <f>SUMIF('Raw Data'!D4:D153,"East",'Raw Data'!G4:G153)</f>
        <v>1189700</v>
      </c>
      <c r="D10" s="14">
        <f>C10/SUM($C$10:$C$14)</f>
        <v>0.20977553647311903</v>
      </c>
      <c r="E10" s="13">
        <f>COUNTIF('Raw Data'!D4:D153,"East")</f>
        <v>30</v>
      </c>
      <c r="F10" s="13">
        <f>AVERAGEIF('Raw Data'!D4:D153,"East",'Raw Data'!G4:G153)</f>
        <v>39656.666666666664</v>
      </c>
      <c r="G10" s="14">
        <f>AVERAGEIF('Raw Data'!D4:D153,"East",'Raw Data'!J4:J153)</f>
        <v>0.39613333333333323</v>
      </c>
      <c r="H10" s="15" t="str">
        <f>IF(C10=MAX($C$10:$C$14),"Top Region",IF(C10&gt;=AVERAGE($C$10:$C$14),"Above Avg","Below Avg"))</f>
        <v>Top Region</v>
      </c>
    </row>
    <row r="11" spans="2:11" ht="19.5" customHeight="1" x14ac:dyDescent="0.3">
      <c r="B11" s="12" t="s">
        <v>13</v>
      </c>
      <c r="C11" s="13">
        <f>SUMIF('Raw Data'!D4:D153,"North",'Raw Data'!G4:G153)</f>
        <v>1173000</v>
      </c>
      <c r="D11" s="14">
        <f>C11/SUM($C$10:$C$14)</f>
        <v>0.20683088533493202</v>
      </c>
      <c r="E11" s="13">
        <f>COUNTIF('Raw Data'!D4:D153,"North")</f>
        <v>30</v>
      </c>
      <c r="F11" s="13">
        <f>AVERAGEIF('Raw Data'!D4:D153,"North",'Raw Data'!G4:G153)</f>
        <v>39100</v>
      </c>
      <c r="G11" s="14">
        <f>AVERAGEIF('Raw Data'!D4:D153,"North",'Raw Data'!J4:J153)</f>
        <v>0.39400000000000002</v>
      </c>
      <c r="H11" s="15" t="str">
        <f>IF(C11=MAX($C$10:$C$14),"Top Region",IF(C11&gt;=AVERAGE($C$10:$C$14),"Above Avg","Below Avg"))</f>
        <v>Above Avg</v>
      </c>
    </row>
    <row r="12" spans="2:11" ht="19.5" customHeight="1" x14ac:dyDescent="0.3">
      <c r="B12" s="12" t="s">
        <v>33</v>
      </c>
      <c r="C12" s="13">
        <f>SUMIF('Raw Data'!D4:D153,"Central",'Raw Data'!G4:G153)</f>
        <v>1142400</v>
      </c>
      <c r="D12" s="14">
        <f>C12/SUM($C$10:$C$14)</f>
        <v>0.20143529702184684</v>
      </c>
      <c r="E12" s="13">
        <f>COUNTIF('Raw Data'!D4:D153,"Central")</f>
        <v>30</v>
      </c>
      <c r="F12" s="13">
        <f>AVERAGEIF('Raw Data'!D4:D153,"Central",'Raw Data'!G4:G153)</f>
        <v>38080</v>
      </c>
      <c r="G12" s="14">
        <f>AVERAGEIF('Raw Data'!D4:D153,"Central",'Raw Data'!J4:J153)</f>
        <v>0.40253333333333341</v>
      </c>
      <c r="H12" s="15" t="str">
        <f>IF(C12=MAX($C$10:$C$14),"Top Region",IF(C12&gt;=AVERAGE($C$10:$C$14),"Above Avg","Below Avg"))</f>
        <v>Above Avg</v>
      </c>
    </row>
    <row r="13" spans="2:11" ht="19.5" customHeight="1" x14ac:dyDescent="0.3">
      <c r="B13" s="16" t="s">
        <v>18</v>
      </c>
      <c r="C13" s="17">
        <f>SUMIF('Raw Data'!D4:D153,"South",'Raw Data'!G4:G153)</f>
        <v>1097100</v>
      </c>
      <c r="D13" s="18">
        <f>C13/SUM($C$10:$C$14)</f>
        <v>0.19344771040149525</v>
      </c>
      <c r="E13" s="17">
        <f>COUNTIF('Raw Data'!D4:D153,"South")</f>
        <v>30</v>
      </c>
      <c r="F13" s="17">
        <f>AVERAGEIF('Raw Data'!D4:D153,"South",'Raw Data'!G4:G153)</f>
        <v>36570</v>
      </c>
      <c r="G13" s="18">
        <f>AVERAGEIF('Raw Data'!D4:D153,"South",'Raw Data'!J4:J153)</f>
        <v>0.4214</v>
      </c>
      <c r="H13" s="19" t="str">
        <f>IF(C13=MAX($C$10:$C$14),"Top Region",IF(C13&gt;=AVERAGE($C$10:$C$14),"Above Avg","Below Avg"))</f>
        <v>Below Avg</v>
      </c>
    </row>
    <row r="14" spans="2:11" ht="19.5" customHeight="1" x14ac:dyDescent="0.3">
      <c r="B14" s="16" t="s">
        <v>28</v>
      </c>
      <c r="C14" s="17">
        <f>SUMIF('Raw Data'!D4:D153,"West",'Raw Data'!G4:G153)</f>
        <v>1069100</v>
      </c>
      <c r="D14" s="18">
        <f>C14/SUM($C$10:$C$14)</f>
        <v>0.18851057076860683</v>
      </c>
      <c r="E14" s="17">
        <f>COUNTIF('Raw Data'!D4:D153,"West")</f>
        <v>30</v>
      </c>
      <c r="F14" s="17">
        <f>AVERAGEIF('Raw Data'!D4:D153,"West",'Raw Data'!G4:G153)</f>
        <v>35636.666666666664</v>
      </c>
      <c r="G14" s="18">
        <f>AVERAGEIF('Raw Data'!D4:D153,"West",'Raw Data'!J4:J153)</f>
        <v>0.40766666666666668</v>
      </c>
      <c r="H14" s="19" t="str">
        <f>IF(C14=MAX($C$10:$C$14),"Top Region",IF(C14&gt;=AVERAGE($C$10:$C$14),"Above Avg","Below Avg"))</f>
        <v>Below Avg</v>
      </c>
    </row>
    <row r="15" spans="2:11" ht="21.75" customHeight="1" x14ac:dyDescent="0.3">
      <c r="B15" s="20" t="s">
        <v>200</v>
      </c>
      <c r="C15" s="21">
        <f>SUM(C10:C14)</f>
        <v>5671300</v>
      </c>
      <c r="D15" s="22">
        <f>SUM(D10:D14)</f>
        <v>1</v>
      </c>
      <c r="E15" s="21">
        <f>SUM(E10:E14)</f>
        <v>150</v>
      </c>
      <c r="F15" s="21">
        <f>AVERAGE(F10:F14)</f>
        <v>37808.666666666664</v>
      </c>
      <c r="G15" s="22">
        <f>AVERAGE(G10:G14)</f>
        <v>0.40434666666666674</v>
      </c>
      <c r="H15" s="20" t="s">
        <v>201</v>
      </c>
    </row>
    <row r="16" spans="2:11" ht="6" customHeight="1" x14ac:dyDescent="0.3"/>
    <row r="17" spans="2:11" ht="19.5" customHeight="1" x14ac:dyDescent="0.3">
      <c r="B17" s="80" t="s">
        <v>202</v>
      </c>
      <c r="C17" s="80"/>
      <c r="D17" s="80"/>
      <c r="E17" s="80"/>
      <c r="F17" s="80"/>
      <c r="G17" s="80"/>
      <c r="H17" s="80"/>
      <c r="I17" s="80"/>
      <c r="J17" s="80"/>
      <c r="K17" s="80"/>
    </row>
    <row r="18" spans="2:11" ht="19.5" customHeight="1" x14ac:dyDescent="0.3">
      <c r="B18" s="1" t="s">
        <v>5</v>
      </c>
      <c r="C18" s="1" t="s">
        <v>192</v>
      </c>
      <c r="D18" s="1" t="s">
        <v>198</v>
      </c>
      <c r="E18" s="1" t="s">
        <v>193</v>
      </c>
      <c r="F18" s="1" t="s">
        <v>196</v>
      </c>
      <c r="G18" s="1" t="s">
        <v>203</v>
      </c>
    </row>
    <row r="19" spans="2:11" ht="19.5" customHeight="1" x14ac:dyDescent="0.3">
      <c r="B19" s="12" t="s">
        <v>14</v>
      </c>
      <c r="C19" s="23">
        <f>SUMIF('Raw Data'!E4:E153,"Electronics",'Raw Data'!G4:G153)</f>
        <v>3005600</v>
      </c>
      <c r="D19" s="24">
        <f t="shared" ref="D19:D24" si="0">C19/SUM($C$19:$C$24)</f>
        <v>0.52996667430747801</v>
      </c>
      <c r="E19" s="23">
        <f>COUNTIF('Raw Data'!E4:E153,"Electronics")</f>
        <v>25</v>
      </c>
      <c r="F19" s="24">
        <f>AVERAGEIF('Raw Data'!E4:E153,"Electronics",'Raw Data'!J4:J153)</f>
        <v>0.42399999999999999</v>
      </c>
      <c r="G19" s="23">
        <f t="shared" ref="G19:G24" si="1">C19</f>
        <v>3005600</v>
      </c>
    </row>
    <row r="20" spans="2:11" ht="19.5" customHeight="1" x14ac:dyDescent="0.3">
      <c r="B20" s="16" t="s">
        <v>38</v>
      </c>
      <c r="C20" s="25">
        <f>SUMIF('Raw Data'!E4:E153,"Furniture",'Raw Data'!G4:G153)</f>
        <v>937600</v>
      </c>
      <c r="D20" s="26">
        <f t="shared" si="0"/>
        <v>0.16532364713557737</v>
      </c>
      <c r="E20" s="25">
        <f>COUNTIF('Raw Data'!E4:E153,"Furniture")</f>
        <v>25</v>
      </c>
      <c r="F20" s="26">
        <f>AVERAGEIF('Raw Data'!E4:E153,"Furniture",'Raw Data'!J4:J153)</f>
        <v>0.39420000000000011</v>
      </c>
      <c r="G20" s="25">
        <f t="shared" si="1"/>
        <v>937600</v>
      </c>
    </row>
    <row r="21" spans="2:11" ht="19.5" customHeight="1" x14ac:dyDescent="0.3">
      <c r="B21" s="16" t="s">
        <v>19</v>
      </c>
      <c r="C21" s="25">
        <f>SUMIF('Raw Data'!E4:E153,"Appliances",'Raw Data'!G4:G153)</f>
        <v>934300</v>
      </c>
      <c r="D21" s="26">
        <f t="shared" si="0"/>
        <v>0.16474176996455839</v>
      </c>
      <c r="E21" s="25">
        <f>COUNTIF('Raw Data'!E4:E153,"Appliances")</f>
        <v>25</v>
      </c>
      <c r="F21" s="26">
        <f>AVERAGEIF('Raw Data'!E4:E153,"Appliances",'Raw Data'!J4:J153)</f>
        <v>0.40095999999999998</v>
      </c>
      <c r="G21" s="25">
        <f t="shared" si="1"/>
        <v>934300</v>
      </c>
    </row>
    <row r="22" spans="2:11" ht="19.5" customHeight="1" x14ac:dyDescent="0.3">
      <c r="B22" s="12" t="s">
        <v>24</v>
      </c>
      <c r="C22" s="23">
        <f>SUMIF('Raw Data'!E4:E153,"Footwear",'Raw Data'!G4:G153)</f>
        <v>410600</v>
      </c>
      <c r="D22" s="24">
        <f t="shared" si="0"/>
        <v>7.2399626187999222E-2</v>
      </c>
      <c r="E22" s="23">
        <f>COUNTIF('Raw Data'!E4:E153,"Footwear")</f>
        <v>25</v>
      </c>
      <c r="F22" s="24">
        <f>AVERAGEIF('Raw Data'!E4:E153,"Footwear",'Raw Data'!J4:J153)</f>
        <v>0.39903999999999995</v>
      </c>
      <c r="G22" s="23">
        <f t="shared" si="1"/>
        <v>410600</v>
      </c>
    </row>
    <row r="23" spans="2:11" ht="19.5" customHeight="1" x14ac:dyDescent="0.3">
      <c r="B23" s="12" t="s">
        <v>34</v>
      </c>
      <c r="C23" s="23">
        <f>SUMIF('Raw Data'!E4:E153,"Nutrition",'Raw Data'!G4:G153)</f>
        <v>250500</v>
      </c>
      <c r="D23" s="24">
        <f t="shared" si="0"/>
        <v>4.4169767072805177E-2</v>
      </c>
      <c r="E23" s="23">
        <f>COUNTIF('Raw Data'!E4:E153,"Nutrition")</f>
        <v>25</v>
      </c>
      <c r="F23" s="24">
        <f>AVERAGEIF('Raw Data'!E4:E153,"Nutrition",'Raw Data'!J4:J153)</f>
        <v>0.41424000000000005</v>
      </c>
      <c r="G23" s="23">
        <f t="shared" si="1"/>
        <v>250500</v>
      </c>
    </row>
    <row r="24" spans="2:11" ht="19.5" customHeight="1" x14ac:dyDescent="0.3">
      <c r="B24" s="16" t="s">
        <v>29</v>
      </c>
      <c r="C24" s="25">
        <f>SUMIF('Raw Data'!E4:E153,"Fitness",'Raw Data'!G4:G153)</f>
        <v>132700</v>
      </c>
      <c r="D24" s="26">
        <f t="shared" si="0"/>
        <v>2.3398515331581823E-2</v>
      </c>
      <c r="E24" s="25">
        <f>COUNTIF('Raw Data'!E4:E153,"Fitness")</f>
        <v>25</v>
      </c>
      <c r="F24" s="26">
        <f>AVERAGEIF('Raw Data'!E4:E153,"Fitness",'Raw Data'!J4:J153)</f>
        <v>0.39363999999999999</v>
      </c>
      <c r="G24" s="25">
        <f t="shared" si="1"/>
        <v>132700</v>
      </c>
    </row>
    <row r="25" spans="2:11" ht="21.75" customHeight="1" x14ac:dyDescent="0.3">
      <c r="B25" s="20" t="s">
        <v>200</v>
      </c>
      <c r="C25" s="21">
        <f>SUM(C19:C24)</f>
        <v>5671300</v>
      </c>
      <c r="D25" s="22">
        <f>SUM(D19:D24)</f>
        <v>0.99999999999999989</v>
      </c>
      <c r="E25" s="21">
        <f>SUM(E19:E24)</f>
        <v>150</v>
      </c>
      <c r="F25" s="22">
        <f>AVERAGE(F19:F24)</f>
        <v>0.40434666666666663</v>
      </c>
      <c r="G25" s="20" t="s">
        <v>201</v>
      </c>
    </row>
    <row r="26" spans="2:11" ht="6" customHeight="1" x14ac:dyDescent="0.3"/>
    <row r="27" spans="2:11" ht="19.5" customHeight="1" x14ac:dyDescent="0.3">
      <c r="B27" s="80" t="s">
        <v>204</v>
      </c>
      <c r="C27" s="80"/>
      <c r="D27" s="80"/>
      <c r="E27" s="80"/>
      <c r="F27" s="80"/>
      <c r="G27" s="80"/>
      <c r="H27" s="80"/>
      <c r="I27" s="80"/>
      <c r="J27" s="80"/>
      <c r="K27" s="80"/>
    </row>
    <row r="28" spans="2:11" ht="19.5" customHeight="1" x14ac:dyDescent="0.3">
      <c r="B28" s="1" t="s">
        <v>11</v>
      </c>
      <c r="C28" s="1" t="s">
        <v>4</v>
      </c>
      <c r="D28" s="1" t="s">
        <v>7</v>
      </c>
      <c r="E28" s="1" t="s">
        <v>205</v>
      </c>
      <c r="F28" s="1" t="s">
        <v>194</v>
      </c>
      <c r="G28" s="1" t="s">
        <v>206</v>
      </c>
    </row>
    <row r="29" spans="2:11" ht="19.5" customHeight="1" x14ac:dyDescent="0.3">
      <c r="B29" s="27" t="s">
        <v>36</v>
      </c>
      <c r="C29" s="28" t="s">
        <v>33</v>
      </c>
      <c r="D29" s="23">
        <f>SUMIF('Raw Data'!K4:K153,"Siddharth Rao",'Raw Data'!G4:G153)</f>
        <v>837700</v>
      </c>
      <c r="E29" s="23">
        <f>COUNTIF('Raw Data'!K4:K153,"Siddharth Rao")</f>
        <v>15</v>
      </c>
      <c r="F29" s="23">
        <f t="shared" ref="F29:F38" si="2">IFERROR(D29/E29,0)</f>
        <v>55846.666666666664</v>
      </c>
      <c r="G29" s="28" t="str">
        <f t="shared" ref="G29:G38" si="3">IF(D29&gt;=LARGE($D$29:$D$38,3),"High Performer",IF(D29&gt;=AVERAGE($D$29:$D$38),"On Target","Needs Coaching"))</f>
        <v>High Performer</v>
      </c>
    </row>
    <row r="30" spans="2:11" ht="19.5" customHeight="1" x14ac:dyDescent="0.3">
      <c r="B30" s="27" t="s">
        <v>26</v>
      </c>
      <c r="C30" s="28" t="s">
        <v>23</v>
      </c>
      <c r="D30" s="23">
        <f>SUMIF('Raw Data'!K4:K153,"Karan Singh",'Raw Data'!G4:G153)</f>
        <v>799300</v>
      </c>
      <c r="E30" s="23">
        <f>COUNTIF('Raw Data'!K4:K153,"Karan Singh")</f>
        <v>15</v>
      </c>
      <c r="F30" s="23">
        <f t="shared" si="2"/>
        <v>53286.666666666664</v>
      </c>
      <c r="G30" s="28" t="str">
        <f t="shared" si="3"/>
        <v>High Performer</v>
      </c>
    </row>
    <row r="31" spans="2:11" ht="19.5" customHeight="1" x14ac:dyDescent="0.3">
      <c r="B31" s="27" t="s">
        <v>16</v>
      </c>
      <c r="C31" s="28" t="s">
        <v>13</v>
      </c>
      <c r="D31" s="23">
        <f>SUMIF('Raw Data'!K4:K153,"Arjun Sharma",'Raw Data'!G4:G153)</f>
        <v>710800</v>
      </c>
      <c r="E31" s="23">
        <f>COUNTIF('Raw Data'!K4:K153,"Arjun Sharma")</f>
        <v>15</v>
      </c>
      <c r="F31" s="23">
        <f t="shared" si="2"/>
        <v>47386.666666666664</v>
      </c>
      <c r="G31" s="28" t="str">
        <f t="shared" si="3"/>
        <v>High Performer</v>
      </c>
    </row>
    <row r="32" spans="2:11" ht="19.5" customHeight="1" x14ac:dyDescent="0.3">
      <c r="B32" s="27" t="s">
        <v>46</v>
      </c>
      <c r="C32" s="28" t="s">
        <v>28</v>
      </c>
      <c r="D32" s="23">
        <f>SUMIF('Raw Data'!K4:K153,"Vikram Patel",'Raw Data'!G4:G153)</f>
        <v>688900</v>
      </c>
      <c r="E32" s="23">
        <f>COUNTIF('Raw Data'!K4:K153,"Vikram Patel")</f>
        <v>15</v>
      </c>
      <c r="F32" s="23">
        <f t="shared" si="2"/>
        <v>45926.666666666664</v>
      </c>
      <c r="G32" s="28" t="str">
        <f t="shared" si="3"/>
        <v>On Target</v>
      </c>
    </row>
    <row r="33" spans="2:11" ht="19.5" customHeight="1" x14ac:dyDescent="0.3">
      <c r="B33" s="27" t="s">
        <v>42</v>
      </c>
      <c r="C33" s="28" t="s">
        <v>18</v>
      </c>
      <c r="D33" s="23">
        <f>SUMIF('Raw Data'!K4:K153,"Rohit Verma",'Raw Data'!G4:G153)</f>
        <v>630000</v>
      </c>
      <c r="E33" s="23">
        <f>COUNTIF('Raw Data'!K4:K153,"Rohit Verma")</f>
        <v>15</v>
      </c>
      <c r="F33" s="23">
        <f t="shared" si="2"/>
        <v>42000</v>
      </c>
      <c r="G33" s="28" t="str">
        <f t="shared" si="3"/>
        <v>On Target</v>
      </c>
    </row>
    <row r="34" spans="2:11" ht="19.5" customHeight="1" x14ac:dyDescent="0.3">
      <c r="B34" s="29" t="s">
        <v>21</v>
      </c>
      <c r="C34" s="30" t="s">
        <v>18</v>
      </c>
      <c r="D34" s="25">
        <f>SUMIF('Raw Data'!K4:K153,"Sneha Iyer",'Raw Data'!G4:G153)</f>
        <v>467100</v>
      </c>
      <c r="E34" s="25">
        <f>COUNTIF('Raw Data'!K4:K153,"Sneha Iyer")</f>
        <v>15</v>
      </c>
      <c r="F34" s="25">
        <f t="shared" si="2"/>
        <v>31140</v>
      </c>
      <c r="G34" s="30" t="str">
        <f t="shared" si="3"/>
        <v>Needs Coaching</v>
      </c>
    </row>
    <row r="35" spans="2:11" ht="19.5" customHeight="1" x14ac:dyDescent="0.3">
      <c r="B35" s="29" t="s">
        <v>40</v>
      </c>
      <c r="C35" s="30" t="s">
        <v>13</v>
      </c>
      <c r="D35" s="25">
        <f>SUMIF('Raw Data'!K4:K153,"Priya Nair",'Raw Data'!G4:G153)</f>
        <v>462200</v>
      </c>
      <c r="E35" s="25">
        <f>COUNTIF('Raw Data'!K4:K153,"Priya Nair")</f>
        <v>15</v>
      </c>
      <c r="F35" s="25">
        <f t="shared" si="2"/>
        <v>30813.333333333332</v>
      </c>
      <c r="G35" s="30" t="str">
        <f t="shared" si="3"/>
        <v>Needs Coaching</v>
      </c>
    </row>
    <row r="36" spans="2:11" ht="19.5" customHeight="1" x14ac:dyDescent="0.3">
      <c r="B36" s="29" t="s">
        <v>44</v>
      </c>
      <c r="C36" s="30" t="s">
        <v>23</v>
      </c>
      <c r="D36" s="25">
        <f>SUMIF('Raw Data'!K4:K153,"Anjali Das",'Raw Data'!G4:G153)</f>
        <v>390400</v>
      </c>
      <c r="E36" s="25">
        <f>COUNTIF('Raw Data'!K4:K153,"Anjali Das")</f>
        <v>15</v>
      </c>
      <c r="F36" s="25">
        <f t="shared" si="2"/>
        <v>26026.666666666668</v>
      </c>
      <c r="G36" s="30" t="str">
        <f t="shared" si="3"/>
        <v>Needs Coaching</v>
      </c>
    </row>
    <row r="37" spans="2:11" ht="19.5" customHeight="1" x14ac:dyDescent="0.3">
      <c r="B37" s="29" t="s">
        <v>31</v>
      </c>
      <c r="C37" s="30" t="s">
        <v>28</v>
      </c>
      <c r="D37" s="25">
        <f>SUMIF('Raw Data'!K4:K153,"Meera Joshi",'Raw Data'!G4:G153)</f>
        <v>380200</v>
      </c>
      <c r="E37" s="25">
        <f>COUNTIF('Raw Data'!K4:K153,"Meera Joshi")</f>
        <v>15</v>
      </c>
      <c r="F37" s="25">
        <f t="shared" si="2"/>
        <v>25346.666666666668</v>
      </c>
      <c r="G37" s="30" t="str">
        <f t="shared" si="3"/>
        <v>Needs Coaching</v>
      </c>
    </row>
    <row r="38" spans="2:11" ht="19.5" customHeight="1" x14ac:dyDescent="0.3">
      <c r="B38" s="29" t="s">
        <v>48</v>
      </c>
      <c r="C38" s="30" t="s">
        <v>33</v>
      </c>
      <c r="D38" s="25">
        <f>SUMIF('Raw Data'!K4:K153,"Deepika Menon",'Raw Data'!G4:G153)</f>
        <v>304700</v>
      </c>
      <c r="E38" s="25">
        <f>COUNTIF('Raw Data'!K4:K153,"Deepika Menon")</f>
        <v>15</v>
      </c>
      <c r="F38" s="25">
        <f t="shared" si="2"/>
        <v>20313.333333333332</v>
      </c>
      <c r="G38" s="30" t="str">
        <f t="shared" si="3"/>
        <v>Needs Coaching</v>
      </c>
    </row>
    <row r="39" spans="2:11" ht="6" customHeight="1" x14ac:dyDescent="0.3"/>
    <row r="40" spans="2:11" ht="19.5" customHeight="1" x14ac:dyDescent="0.3">
      <c r="B40" s="80" t="s">
        <v>207</v>
      </c>
      <c r="C40" s="80"/>
      <c r="D40" s="80"/>
      <c r="E40" s="80"/>
      <c r="F40" s="80"/>
      <c r="G40" s="80"/>
      <c r="H40" s="80"/>
      <c r="I40" s="80"/>
      <c r="J40" s="80"/>
      <c r="K40" s="80"/>
    </row>
    <row r="41" spans="2:11" ht="18" customHeight="1" x14ac:dyDescent="0.3">
      <c r="B41" s="93" t="s">
        <v>208</v>
      </c>
      <c r="C41" s="93"/>
      <c r="D41" s="93"/>
      <c r="E41" s="93"/>
      <c r="F41" s="93"/>
      <c r="G41" s="94" t="s">
        <v>209</v>
      </c>
      <c r="H41" s="94"/>
      <c r="I41" s="94"/>
      <c r="J41" s="94"/>
      <c r="K41" s="94"/>
    </row>
    <row r="42" spans="2:11" ht="15.75" customHeight="1" x14ac:dyDescent="0.3">
      <c r="B42" s="93"/>
      <c r="C42" s="93"/>
      <c r="D42" s="93"/>
      <c r="E42" s="93"/>
      <c r="F42" s="93"/>
      <c r="G42" s="94"/>
      <c r="H42" s="94"/>
      <c r="I42" s="94"/>
      <c r="J42" s="94"/>
      <c r="K42" s="94"/>
    </row>
    <row r="43" spans="2:11" ht="15.75" customHeight="1" x14ac:dyDescent="0.3">
      <c r="B43" s="93"/>
      <c r="C43" s="93"/>
      <c r="D43" s="93"/>
      <c r="E43" s="93"/>
      <c r="F43" s="93"/>
      <c r="G43" s="94"/>
      <c r="H43" s="94"/>
      <c r="I43" s="94"/>
      <c r="J43" s="94"/>
      <c r="K43" s="94"/>
    </row>
    <row r="44" spans="2:11" ht="15.75" customHeight="1" x14ac:dyDescent="0.3">
      <c r="B44" s="93"/>
      <c r="C44" s="93"/>
      <c r="D44" s="93"/>
      <c r="E44" s="93"/>
      <c r="F44" s="93"/>
      <c r="G44" s="94"/>
      <c r="H44" s="94"/>
      <c r="I44" s="94"/>
      <c r="J44" s="94"/>
      <c r="K44" s="94"/>
    </row>
    <row r="45" spans="2:11" ht="15.75" customHeight="1" x14ac:dyDescent="0.3">
      <c r="B45" s="93"/>
      <c r="C45" s="93"/>
      <c r="D45" s="93"/>
      <c r="E45" s="93"/>
      <c r="F45" s="93"/>
      <c r="G45" s="94"/>
      <c r="H45" s="94"/>
      <c r="I45" s="94"/>
      <c r="J45" s="94"/>
      <c r="K45" s="94"/>
    </row>
    <row r="46" spans="2:11" ht="15.75" customHeight="1" x14ac:dyDescent="0.3">
      <c r="B46" s="93"/>
      <c r="C46" s="93"/>
      <c r="D46" s="93"/>
      <c r="E46" s="93"/>
      <c r="F46" s="93"/>
      <c r="G46" s="94"/>
      <c r="H46" s="94"/>
      <c r="I46" s="94"/>
      <c r="J46" s="94"/>
      <c r="K46" s="94"/>
    </row>
    <row r="47" spans="2:11" ht="15.75" customHeight="1" x14ac:dyDescent="0.3">
      <c r="B47" s="93"/>
      <c r="C47" s="93"/>
      <c r="D47" s="93"/>
      <c r="E47" s="93"/>
      <c r="F47" s="93"/>
      <c r="G47" s="94"/>
      <c r="H47" s="94"/>
      <c r="I47" s="94"/>
      <c r="J47" s="94"/>
      <c r="K47" s="94"/>
    </row>
    <row r="48" spans="2:11" ht="15.75" customHeight="1" x14ac:dyDescent="0.3">
      <c r="B48" s="93"/>
      <c r="C48" s="93"/>
      <c r="D48" s="93"/>
      <c r="E48" s="93"/>
      <c r="F48" s="93"/>
      <c r="G48" s="94"/>
      <c r="H48" s="94"/>
      <c r="I48" s="94"/>
      <c r="J48" s="94"/>
      <c r="K48" s="94"/>
    </row>
    <row r="49" spans="2:11" ht="15.75" customHeight="1" x14ac:dyDescent="0.3">
      <c r="B49" s="93"/>
      <c r="C49" s="93"/>
      <c r="D49" s="93"/>
      <c r="E49" s="93"/>
      <c r="F49" s="93"/>
      <c r="G49" s="94"/>
      <c r="H49" s="94"/>
      <c r="I49" s="94"/>
      <c r="J49" s="94"/>
      <c r="K49" s="94"/>
    </row>
    <row r="50" spans="2:11" ht="15.75" customHeight="1" x14ac:dyDescent="0.3">
      <c r="B50" s="93"/>
      <c r="C50" s="93"/>
      <c r="D50" s="93"/>
      <c r="E50" s="93"/>
      <c r="F50" s="93"/>
      <c r="G50" s="94"/>
      <c r="H50" s="94"/>
      <c r="I50" s="94"/>
      <c r="J50" s="94"/>
      <c r="K50" s="94"/>
    </row>
    <row r="51" spans="2:11" ht="15.75" customHeight="1" x14ac:dyDescent="0.3">
      <c r="B51" s="31"/>
      <c r="C51" s="31"/>
      <c r="D51" s="31"/>
      <c r="E51" s="31"/>
      <c r="F51" s="31"/>
      <c r="G51" s="31"/>
      <c r="H51" s="31"/>
      <c r="I51" s="31"/>
      <c r="J51" s="31"/>
      <c r="K51" s="31"/>
    </row>
    <row r="52" spans="2:11" ht="15.75" customHeight="1" x14ac:dyDescent="0.3">
      <c r="B52" s="31"/>
      <c r="C52" s="31"/>
      <c r="D52" s="31"/>
      <c r="E52" s="31"/>
      <c r="F52" s="31"/>
      <c r="G52" s="31"/>
      <c r="H52" s="31"/>
      <c r="I52" s="31"/>
      <c r="J52" s="31"/>
      <c r="K52" s="31"/>
    </row>
    <row r="53" spans="2:11" ht="15.75" customHeight="1" x14ac:dyDescent="0.3">
      <c r="B53" s="31"/>
      <c r="C53" s="31"/>
      <c r="D53" s="31"/>
      <c r="E53" s="31"/>
      <c r="F53" s="31"/>
      <c r="G53" s="31"/>
      <c r="H53" s="31"/>
      <c r="I53" s="31"/>
      <c r="J53" s="31"/>
      <c r="K53" s="31"/>
    </row>
    <row r="54" spans="2:11" ht="15.75" customHeight="1" x14ac:dyDescent="0.3">
      <c r="B54" s="31"/>
      <c r="C54" s="31"/>
      <c r="D54" s="31"/>
      <c r="E54" s="31"/>
      <c r="F54" s="31"/>
      <c r="G54" s="31"/>
      <c r="H54" s="31"/>
      <c r="I54" s="31"/>
      <c r="J54" s="31"/>
      <c r="K54" s="31"/>
    </row>
    <row r="55" spans="2:11" ht="15.75" customHeight="1" x14ac:dyDescent="0.3">
      <c r="B55" s="31"/>
      <c r="C55" s="31"/>
      <c r="D55" s="31"/>
      <c r="E55" s="31"/>
      <c r="F55" s="31"/>
      <c r="G55" s="31"/>
      <c r="H55" s="31"/>
      <c r="I55" s="31"/>
      <c r="J55" s="31"/>
      <c r="K55" s="31"/>
    </row>
    <row r="56" spans="2:11" ht="15.75" customHeight="1" x14ac:dyDescent="0.3">
      <c r="B56" s="31"/>
      <c r="C56" s="31"/>
      <c r="D56" s="31"/>
      <c r="E56" s="31"/>
      <c r="F56" s="31"/>
      <c r="G56" s="31"/>
      <c r="H56" s="31"/>
      <c r="I56" s="31"/>
      <c r="J56" s="31"/>
      <c r="K56" s="31"/>
    </row>
    <row r="57" spans="2:11" ht="15.75" customHeight="1" x14ac:dyDescent="0.3">
      <c r="B57" s="31"/>
      <c r="C57" s="31"/>
      <c r="D57" s="31"/>
      <c r="E57" s="31"/>
      <c r="F57" s="31"/>
      <c r="G57" s="31"/>
      <c r="H57" s="31"/>
      <c r="I57" s="31"/>
      <c r="J57" s="31"/>
      <c r="K57" s="31"/>
    </row>
    <row r="58" spans="2:11" ht="15.75" customHeight="1" x14ac:dyDescent="0.3">
      <c r="B58" s="31"/>
      <c r="C58" s="31"/>
      <c r="D58" s="31"/>
      <c r="E58" s="31"/>
      <c r="F58" s="31"/>
      <c r="G58" s="31"/>
      <c r="H58" s="31"/>
      <c r="I58" s="31"/>
      <c r="J58" s="31"/>
      <c r="K58" s="31"/>
    </row>
    <row r="59" spans="2:11" ht="15.75" customHeight="1" x14ac:dyDescent="0.3">
      <c r="B59" s="31"/>
      <c r="C59" s="31"/>
      <c r="D59" s="31"/>
      <c r="E59" s="31"/>
      <c r="F59" s="31"/>
      <c r="G59" s="31"/>
      <c r="H59" s="31"/>
      <c r="I59" s="31"/>
      <c r="J59" s="31"/>
      <c r="K59" s="31"/>
    </row>
    <row r="60" spans="2:11" ht="15.75" customHeight="1" x14ac:dyDescent="0.3">
      <c r="B60" s="31"/>
      <c r="C60" s="31"/>
      <c r="D60" s="31"/>
      <c r="E60" s="31"/>
      <c r="F60" s="31"/>
      <c r="G60" s="31"/>
      <c r="H60" s="31"/>
      <c r="I60" s="31"/>
      <c r="J60" s="31"/>
      <c r="K60" s="31"/>
    </row>
    <row r="61" spans="2:11" ht="15.75" customHeight="1" x14ac:dyDescent="0.3">
      <c r="B61" s="31"/>
      <c r="C61" s="31"/>
      <c r="D61" s="31"/>
      <c r="E61" s="31"/>
      <c r="F61" s="31"/>
      <c r="G61" s="31"/>
      <c r="H61" s="31"/>
      <c r="I61" s="31"/>
      <c r="J61" s="31"/>
      <c r="K61" s="31"/>
    </row>
    <row r="62" spans="2:11" ht="15.75" customHeight="1" x14ac:dyDescent="0.3">
      <c r="B62" s="31"/>
      <c r="C62" s="31"/>
      <c r="D62" s="31"/>
      <c r="E62" s="31"/>
      <c r="F62" s="31"/>
      <c r="G62" s="31"/>
      <c r="H62" s="31"/>
      <c r="I62" s="31"/>
      <c r="J62" s="31"/>
      <c r="K62" s="31"/>
    </row>
    <row r="63" spans="2:11" ht="15.75" customHeight="1" x14ac:dyDescent="0.3">
      <c r="B63" s="31"/>
      <c r="C63" s="31"/>
      <c r="D63" s="31"/>
      <c r="E63" s="31"/>
      <c r="F63" s="31"/>
      <c r="G63" s="31"/>
      <c r="H63" s="31"/>
      <c r="I63" s="31"/>
      <c r="J63" s="31"/>
      <c r="K63" s="31"/>
    </row>
    <row r="64" spans="2:11" ht="15.75" customHeight="1" x14ac:dyDescent="0.3">
      <c r="B64" s="31"/>
      <c r="C64" s="31"/>
      <c r="D64" s="31"/>
      <c r="E64" s="31"/>
      <c r="F64" s="31"/>
      <c r="G64" s="31"/>
      <c r="H64" s="31"/>
      <c r="I64" s="31"/>
      <c r="J64" s="31"/>
      <c r="K64" s="31"/>
    </row>
    <row r="65" spans="2:11" ht="6" customHeight="1" x14ac:dyDescent="0.3"/>
    <row r="66" spans="2:11" ht="19.5" customHeight="1" x14ac:dyDescent="0.3">
      <c r="B66" s="80" t="s">
        <v>210</v>
      </c>
      <c r="C66" s="80"/>
      <c r="D66" s="80"/>
      <c r="E66" s="80"/>
      <c r="F66" s="80"/>
      <c r="G66" s="80"/>
      <c r="H66" s="80"/>
      <c r="I66" s="80"/>
      <c r="J66" s="80"/>
      <c r="K66" s="80"/>
    </row>
    <row r="67" spans="2:11" ht="18" customHeight="1" x14ac:dyDescent="0.3">
      <c r="B67" s="95" t="s">
        <v>211</v>
      </c>
      <c r="C67" s="95"/>
      <c r="D67" s="95"/>
      <c r="E67" s="95"/>
      <c r="F67" s="95"/>
      <c r="G67" s="95"/>
      <c r="H67" s="95"/>
      <c r="I67" s="95"/>
      <c r="J67" s="95"/>
      <c r="K67" s="95"/>
    </row>
    <row r="68" spans="2:11" ht="27.75" customHeight="1" x14ac:dyDescent="0.3">
      <c r="B68" s="96" t="s">
        <v>212</v>
      </c>
      <c r="C68" s="96"/>
      <c r="D68" s="96"/>
      <c r="E68" s="97" t="s">
        <v>385</v>
      </c>
      <c r="F68" s="97"/>
      <c r="G68" s="97"/>
      <c r="H68" s="97"/>
      <c r="I68" s="97"/>
      <c r="J68" s="97"/>
      <c r="K68" s="97"/>
    </row>
    <row r="69" spans="2:11" ht="27.75" customHeight="1" x14ac:dyDescent="0.3">
      <c r="B69" s="96"/>
      <c r="C69" s="96"/>
      <c r="D69" s="96"/>
      <c r="E69" s="97"/>
      <c r="F69" s="97"/>
      <c r="G69" s="97"/>
      <c r="H69" s="97"/>
      <c r="I69" s="97"/>
      <c r="J69" s="97"/>
      <c r="K69" s="97"/>
    </row>
    <row r="70" spans="2:11" ht="18" customHeight="1" x14ac:dyDescent="0.3">
      <c r="B70" s="95" t="s">
        <v>213</v>
      </c>
      <c r="C70" s="95"/>
      <c r="D70" s="95"/>
      <c r="E70" s="95"/>
      <c r="F70" s="95"/>
      <c r="G70" s="95"/>
      <c r="H70" s="95"/>
      <c r="I70" s="95"/>
      <c r="J70" s="95"/>
      <c r="K70" s="95"/>
    </row>
    <row r="71" spans="2:11" ht="27.75" customHeight="1" x14ac:dyDescent="0.3">
      <c r="B71" s="98" t="s">
        <v>214</v>
      </c>
      <c r="C71" s="98"/>
      <c r="D71" s="98"/>
      <c r="E71" s="97" t="s">
        <v>386</v>
      </c>
      <c r="F71" s="97"/>
      <c r="G71" s="97"/>
      <c r="H71" s="97"/>
      <c r="I71" s="97"/>
      <c r="J71" s="97"/>
      <c r="K71" s="97"/>
    </row>
    <row r="72" spans="2:11" ht="27.75" customHeight="1" x14ac:dyDescent="0.3">
      <c r="B72" s="98"/>
      <c r="C72" s="98"/>
      <c r="D72" s="98"/>
      <c r="E72" s="97"/>
      <c r="F72" s="97"/>
      <c r="G72" s="97"/>
      <c r="H72" s="97"/>
      <c r="I72" s="97"/>
      <c r="J72" s="97"/>
      <c r="K72" s="97"/>
    </row>
    <row r="73" spans="2:11" ht="18" customHeight="1" x14ac:dyDescent="0.3">
      <c r="B73" s="95" t="s">
        <v>215</v>
      </c>
      <c r="C73" s="95"/>
      <c r="D73" s="95"/>
      <c r="E73" s="95"/>
      <c r="F73" s="95"/>
      <c r="G73" s="95"/>
      <c r="H73" s="95"/>
      <c r="I73" s="95"/>
      <c r="J73" s="95"/>
      <c r="K73" s="95"/>
    </row>
    <row r="74" spans="2:11" ht="27.75" customHeight="1" x14ac:dyDescent="0.3">
      <c r="B74" s="96" t="s">
        <v>216</v>
      </c>
      <c r="C74" s="96"/>
      <c r="D74" s="96"/>
      <c r="E74" s="97" t="s">
        <v>387</v>
      </c>
      <c r="F74" s="97"/>
      <c r="G74" s="97"/>
      <c r="H74" s="97"/>
      <c r="I74" s="97"/>
      <c r="J74" s="97"/>
      <c r="K74" s="97"/>
    </row>
    <row r="75" spans="2:11" ht="27.75" customHeight="1" x14ac:dyDescent="0.3">
      <c r="B75" s="96"/>
      <c r="C75" s="96"/>
      <c r="D75" s="96"/>
      <c r="E75" s="97"/>
      <c r="F75" s="97"/>
      <c r="G75" s="97"/>
      <c r="H75" s="97"/>
      <c r="I75" s="97"/>
      <c r="J75" s="97"/>
      <c r="K75" s="97"/>
    </row>
    <row r="76" spans="2:11" ht="18" customHeight="1" x14ac:dyDescent="0.3">
      <c r="B76" s="95" t="s">
        <v>217</v>
      </c>
      <c r="C76" s="95"/>
      <c r="D76" s="95"/>
      <c r="E76" s="95"/>
      <c r="F76" s="95"/>
      <c r="G76" s="95"/>
      <c r="H76" s="95"/>
      <c r="I76" s="95"/>
      <c r="J76" s="95"/>
      <c r="K76" s="95"/>
    </row>
    <row r="77" spans="2:11" ht="27.75" customHeight="1" x14ac:dyDescent="0.3">
      <c r="B77" s="98" t="s">
        <v>218</v>
      </c>
      <c r="C77" s="98"/>
      <c r="D77" s="98"/>
      <c r="E77" s="97" t="s">
        <v>393</v>
      </c>
      <c r="F77" s="97"/>
      <c r="G77" s="97"/>
      <c r="H77" s="97"/>
      <c r="I77" s="97"/>
      <c r="J77" s="97"/>
      <c r="K77" s="97"/>
    </row>
    <row r="78" spans="2:11" ht="27.75" customHeight="1" x14ac:dyDescent="0.3">
      <c r="B78" s="98"/>
      <c r="C78" s="98"/>
      <c r="D78" s="98"/>
      <c r="E78" s="97"/>
      <c r="F78" s="97"/>
      <c r="G78" s="97"/>
      <c r="H78" s="97"/>
      <c r="I78" s="97"/>
      <c r="J78" s="97"/>
      <c r="K78" s="97"/>
    </row>
    <row r="79" spans="2:11" ht="18" customHeight="1" x14ac:dyDescent="0.3">
      <c r="B79" s="95" t="s">
        <v>219</v>
      </c>
      <c r="C79" s="95"/>
      <c r="D79" s="95"/>
      <c r="E79" s="95"/>
      <c r="F79" s="95"/>
      <c r="G79" s="95"/>
      <c r="H79" s="95"/>
      <c r="I79" s="95"/>
      <c r="J79" s="95"/>
      <c r="K79" s="95"/>
    </row>
    <row r="80" spans="2:11" ht="27.75" customHeight="1" x14ac:dyDescent="0.3">
      <c r="B80" s="96" t="s">
        <v>220</v>
      </c>
      <c r="C80" s="96"/>
      <c r="D80" s="96"/>
      <c r="E80" s="97" t="s">
        <v>388</v>
      </c>
      <c r="F80" s="97"/>
      <c r="G80" s="97"/>
      <c r="H80" s="97"/>
      <c r="I80" s="97"/>
      <c r="J80" s="97"/>
      <c r="K80" s="97"/>
    </row>
    <row r="81" spans="2:11" ht="27.75" customHeight="1" x14ac:dyDescent="0.3">
      <c r="B81" s="96"/>
      <c r="C81" s="96"/>
      <c r="D81" s="96"/>
      <c r="E81" s="97"/>
      <c r="F81" s="97"/>
      <c r="G81" s="97"/>
      <c r="H81" s="97"/>
      <c r="I81" s="97"/>
      <c r="J81" s="97"/>
      <c r="K81" s="97"/>
    </row>
  </sheetData>
  <sortState xmlns:xlrd2="http://schemas.microsoft.com/office/spreadsheetml/2017/richdata2" ref="B29:G38">
    <sortCondition descending="1" ref="D29:D38"/>
  </sortState>
  <mergeCells count="40">
    <mergeCell ref="B76:K76"/>
    <mergeCell ref="B77:D78"/>
    <mergeCell ref="E77:K78"/>
    <mergeCell ref="B79:K79"/>
    <mergeCell ref="B80:D81"/>
    <mergeCell ref="E80:K81"/>
    <mergeCell ref="B71:D72"/>
    <mergeCell ref="E71:K72"/>
    <mergeCell ref="B73:K73"/>
    <mergeCell ref="B74:D75"/>
    <mergeCell ref="E74:K75"/>
    <mergeCell ref="B66:K66"/>
    <mergeCell ref="B67:K67"/>
    <mergeCell ref="B68:D69"/>
    <mergeCell ref="E68:K69"/>
    <mergeCell ref="B70:K70"/>
    <mergeCell ref="B8:K8"/>
    <mergeCell ref="B17:K17"/>
    <mergeCell ref="B27:K27"/>
    <mergeCell ref="B40:K40"/>
    <mergeCell ref="B41:F50"/>
    <mergeCell ref="G41:K50"/>
    <mergeCell ref="B6:C6"/>
    <mergeCell ref="D6:E6"/>
    <mergeCell ref="F6:G6"/>
    <mergeCell ref="H6:I6"/>
    <mergeCell ref="J6:K6"/>
    <mergeCell ref="B5:C5"/>
    <mergeCell ref="D5:E5"/>
    <mergeCell ref="F5:G5"/>
    <mergeCell ref="H5:I5"/>
    <mergeCell ref="J5:K5"/>
    <mergeCell ref="B1:K1"/>
    <mergeCell ref="B2:K2"/>
    <mergeCell ref="B3:K3"/>
    <mergeCell ref="B4:C4"/>
    <mergeCell ref="D4:E4"/>
    <mergeCell ref="F4:G4"/>
    <mergeCell ref="H4:I4"/>
    <mergeCell ref="J4:K4"/>
  </mergeCells>
  <conditionalFormatting sqref="G19:G24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{84150B7A-0618-4A27-B115-A14D412D5B81}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4150B7A-0618-4A27-B115-A14D412D5B8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G19:G24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5EAA"/>
  </sheetPr>
  <dimension ref="B1:H29"/>
  <sheetViews>
    <sheetView zoomScaleNormal="100" workbookViewId="0">
      <pane xSplit="1" ySplit="3" topLeftCell="B12" activePane="bottomRight" state="frozen"/>
      <selection pane="topRight" activeCell="B1" sqref="B1"/>
      <selection pane="bottomLeft" activeCell="A4" sqref="A4"/>
      <selection pane="bottomRight" activeCell="B25" sqref="B25:H25"/>
    </sheetView>
  </sheetViews>
  <sheetFormatPr defaultColWidth="8.6640625" defaultRowHeight="14.4" x14ac:dyDescent="0.3"/>
  <cols>
    <col min="1" max="1" width="2" customWidth="1"/>
    <col min="2" max="2" width="18" customWidth="1"/>
    <col min="3" max="3" width="16" customWidth="1"/>
    <col min="4" max="7" width="14" customWidth="1"/>
  </cols>
  <sheetData>
    <row r="1" spans="2:8" ht="27.75" customHeight="1" x14ac:dyDescent="0.3">
      <c r="B1" s="102" t="s">
        <v>221</v>
      </c>
      <c r="C1" s="102"/>
      <c r="D1" s="102"/>
      <c r="E1" s="102"/>
      <c r="F1" s="102"/>
      <c r="G1" s="102"/>
    </row>
    <row r="2" spans="2:8" ht="15.75" customHeight="1" x14ac:dyDescent="0.3">
      <c r="B2" s="79" t="s">
        <v>222</v>
      </c>
      <c r="C2" s="79"/>
      <c r="D2" s="79"/>
      <c r="E2" s="79"/>
      <c r="F2" s="79"/>
      <c r="G2" s="79"/>
    </row>
    <row r="3" spans="2:8" ht="19.5" customHeight="1" x14ac:dyDescent="0.3">
      <c r="B3" s="1" t="s">
        <v>223</v>
      </c>
      <c r="C3" s="1" t="s">
        <v>224</v>
      </c>
      <c r="D3" s="1" t="s">
        <v>192</v>
      </c>
      <c r="E3" s="1" t="s">
        <v>193</v>
      </c>
      <c r="F3" s="1" t="s">
        <v>196</v>
      </c>
      <c r="G3" s="1" t="s">
        <v>225</v>
      </c>
      <c r="H3" s="1" t="s">
        <v>226</v>
      </c>
    </row>
    <row r="4" spans="2:8" ht="19.5" customHeight="1" x14ac:dyDescent="0.3">
      <c r="B4" s="32">
        <v>1</v>
      </c>
      <c r="C4" s="33" t="s">
        <v>227</v>
      </c>
      <c r="D4" s="34">
        <f>SUMPRODUCT(('Raw Data'!G4:G153)*(MONTH('Raw Data'!C4:C153)=1)*(YEAR('Raw Data'!C4:C153)=2024))</f>
        <v>296100</v>
      </c>
      <c r="E4" s="34">
        <f>SUMPRODUCT(('Raw Data'!B4:B153&lt;&gt;"")*(MONTH('Raw Data'!C4:C153)=1)*(YEAR('Raw Data'!C4:C153)=2024))</f>
        <v>10</v>
      </c>
      <c r="F4" s="35">
        <f>IFERROR(SUMPRODUCT(('Raw Data'!J4:J153)*(MONTH('Raw Data'!C4:C153)=1)*(YEAR('Raw Data'!C4:C153)=2024))/E4,0)</f>
        <v>0.39560000000000001</v>
      </c>
      <c r="G4" s="36" t="s">
        <v>201</v>
      </c>
      <c r="H4" s="36" t="s">
        <v>201</v>
      </c>
    </row>
    <row r="5" spans="2:8" ht="19.5" customHeight="1" x14ac:dyDescent="0.3">
      <c r="B5" s="37">
        <v>2</v>
      </c>
      <c r="C5" s="38" t="s">
        <v>228</v>
      </c>
      <c r="D5" s="39">
        <f>SUMPRODUCT(('Raw Data'!G4:G153)*(MONTH('Raw Data'!C4:C153)=2)*(YEAR('Raw Data'!C4:C153)=2024))</f>
        <v>444900</v>
      </c>
      <c r="E5" s="39">
        <f>SUMPRODUCT(('Raw Data'!B4:B153&lt;&gt;"")*(MONTH('Raw Data'!C4:C153)=2)*(YEAR('Raw Data'!C4:C153)=2024))</f>
        <v>10</v>
      </c>
      <c r="F5" s="40">
        <f>IFERROR(SUMPRODUCT(('Raw Data'!J4:J153)*(MONTH('Raw Data'!C4:C153)=2)*(YEAR('Raw Data'!C4:C153)=2024))/E5,0)</f>
        <v>0.39849999999999997</v>
      </c>
      <c r="G5" s="41">
        <f t="shared" ref="G5:G21" si="0">D5-D4</f>
        <v>148800</v>
      </c>
      <c r="H5" s="42" t="str">
        <f t="shared" ref="H5:H21" si="1">IF(G5&gt;0,"▲ Growth","▼ Decline")</f>
        <v>▲ Growth</v>
      </c>
    </row>
    <row r="6" spans="2:8" ht="19.5" customHeight="1" x14ac:dyDescent="0.3">
      <c r="B6" s="32">
        <v>3</v>
      </c>
      <c r="C6" s="33" t="s">
        <v>229</v>
      </c>
      <c r="D6" s="34">
        <f>SUMPRODUCT(('Raw Data'!G4:G153)*(MONTH('Raw Data'!C4:C153)=3)*(YEAR('Raw Data'!C4:C153)=2024))</f>
        <v>398200</v>
      </c>
      <c r="E6" s="34">
        <f>SUMPRODUCT(('Raw Data'!B4:B153&lt;&gt;"")*(MONTH('Raw Data'!C4:C153)=3)*(YEAR('Raw Data'!C4:C153)=2024))</f>
        <v>10</v>
      </c>
      <c r="F6" s="35">
        <f>IFERROR(SUMPRODUCT(('Raw Data'!J4:J153)*(MONTH('Raw Data'!C4:C153)=3)*(YEAR('Raw Data'!C4:C153)=2024))/E6,0)</f>
        <v>0.41950000000000004</v>
      </c>
      <c r="G6" s="43">
        <f t="shared" si="0"/>
        <v>-46700</v>
      </c>
      <c r="H6" s="36" t="str">
        <f t="shared" si="1"/>
        <v>▼ Decline</v>
      </c>
    </row>
    <row r="7" spans="2:8" ht="19.5" customHeight="1" x14ac:dyDescent="0.3">
      <c r="B7" s="37">
        <v>4</v>
      </c>
      <c r="C7" s="38" t="s">
        <v>230</v>
      </c>
      <c r="D7" s="39">
        <f>SUMPRODUCT(('Raw Data'!G4:G153)*(MONTH('Raw Data'!C4:C153)=4)*(YEAR('Raw Data'!C4:C153)=2024))</f>
        <v>413100</v>
      </c>
      <c r="E7" s="39">
        <f>SUMPRODUCT(('Raw Data'!B4:B153&lt;&gt;"")*(MONTH('Raw Data'!C4:C153)=4)*(YEAR('Raw Data'!C4:C153)=2024))</f>
        <v>10</v>
      </c>
      <c r="F7" s="40">
        <f>IFERROR(SUMPRODUCT(('Raw Data'!J4:J153)*(MONTH('Raw Data'!C4:C153)=4)*(YEAR('Raw Data'!C4:C153)=2024))/E7,0)</f>
        <v>0.41390000000000005</v>
      </c>
      <c r="G7" s="41">
        <f t="shared" si="0"/>
        <v>14900</v>
      </c>
      <c r="H7" s="42" t="str">
        <f t="shared" si="1"/>
        <v>▲ Growth</v>
      </c>
    </row>
    <row r="8" spans="2:8" ht="19.5" customHeight="1" x14ac:dyDescent="0.3">
      <c r="B8" s="32">
        <v>5</v>
      </c>
      <c r="C8" s="33" t="s">
        <v>231</v>
      </c>
      <c r="D8" s="34">
        <f>SUMPRODUCT(('Raw Data'!G4:G153)*(MONTH('Raw Data'!C4:C153)=5)*(YEAR('Raw Data'!C4:C153)=2024))</f>
        <v>450300</v>
      </c>
      <c r="E8" s="34">
        <f>SUMPRODUCT(('Raw Data'!B4:B153&lt;&gt;"")*(MONTH('Raw Data'!C4:C153)=5)*(YEAR('Raw Data'!C4:C153)=2024))</f>
        <v>11</v>
      </c>
      <c r="F8" s="35">
        <f>IFERROR(SUMPRODUCT(('Raw Data'!J4:J153)*(MONTH('Raw Data'!C4:C153)=5)*(YEAR('Raw Data'!C4:C153)=2024))/E8,0)</f>
        <v>0.40936363636363637</v>
      </c>
      <c r="G8" s="43">
        <f t="shared" si="0"/>
        <v>37200</v>
      </c>
      <c r="H8" s="36" t="str">
        <f t="shared" si="1"/>
        <v>▲ Growth</v>
      </c>
    </row>
    <row r="9" spans="2:8" ht="19.5" customHeight="1" x14ac:dyDescent="0.3">
      <c r="B9" s="37">
        <v>6</v>
      </c>
      <c r="C9" s="38" t="s">
        <v>232</v>
      </c>
      <c r="D9" s="39">
        <f>SUMPRODUCT(('Raw Data'!G4:G153)*(MONTH('Raw Data'!C4:C153)=6)*(YEAR('Raw Data'!C4:C153)=2024))</f>
        <v>481900</v>
      </c>
      <c r="E9" s="39">
        <f>SUMPRODUCT(('Raw Data'!B4:B153&lt;&gt;"")*(MONTH('Raw Data'!C4:C153)=6)*(YEAR('Raw Data'!C4:C153)=2024))</f>
        <v>10</v>
      </c>
      <c r="F9" s="40">
        <f>IFERROR(SUMPRODUCT(('Raw Data'!J4:J153)*(MONTH('Raw Data'!C4:C153)=6)*(YEAR('Raw Data'!C4:C153)=2024))/E9,0)</f>
        <v>0.42010000000000003</v>
      </c>
      <c r="G9" s="41">
        <f t="shared" si="0"/>
        <v>31600</v>
      </c>
      <c r="H9" s="42" t="str">
        <f t="shared" si="1"/>
        <v>▲ Growth</v>
      </c>
    </row>
    <row r="10" spans="2:8" ht="19.5" customHeight="1" x14ac:dyDescent="0.3">
      <c r="B10" s="32">
        <v>7</v>
      </c>
      <c r="C10" s="33" t="s">
        <v>233</v>
      </c>
      <c r="D10" s="34">
        <f>SUMPRODUCT(('Raw Data'!G4:G153)*(MONTH('Raw Data'!C4:C153)=7)*(YEAR('Raw Data'!C4:C153)=2024))</f>
        <v>259000</v>
      </c>
      <c r="E10" s="34">
        <f>SUMPRODUCT(('Raw Data'!B4:B153&lt;&gt;"")*(MONTH('Raw Data'!C4:C153)=7)*(YEAR('Raw Data'!C4:C153)=2024))</f>
        <v>10</v>
      </c>
      <c r="F10" s="35">
        <f>IFERROR(SUMPRODUCT(('Raw Data'!J4:J153)*(MONTH('Raw Data'!C4:C153)=7)*(YEAR('Raw Data'!C4:C153)=2024))/E10,0)</f>
        <v>0.39050000000000007</v>
      </c>
      <c r="G10" s="43">
        <f t="shared" si="0"/>
        <v>-222900</v>
      </c>
      <c r="H10" s="36" t="str">
        <f t="shared" si="1"/>
        <v>▼ Decline</v>
      </c>
    </row>
    <row r="11" spans="2:8" ht="19.5" customHeight="1" x14ac:dyDescent="0.3">
      <c r="B11" s="37">
        <v>8</v>
      </c>
      <c r="C11" s="38" t="s">
        <v>234</v>
      </c>
      <c r="D11" s="39">
        <f>SUMPRODUCT(('Raw Data'!G4:G153)*(MONTH('Raw Data'!C4:C153)=8)*(YEAR('Raw Data'!C4:C153)=2024))</f>
        <v>252300</v>
      </c>
      <c r="E11" s="39">
        <f>SUMPRODUCT(('Raw Data'!B4:B153&lt;&gt;"")*(MONTH('Raw Data'!C4:C153)=8)*(YEAR('Raw Data'!C4:C153)=2024))</f>
        <v>11</v>
      </c>
      <c r="F11" s="40">
        <f>IFERROR(SUMPRODUCT(('Raw Data'!J4:J153)*(MONTH('Raw Data'!C4:C153)=8)*(YEAR('Raw Data'!C4:C153)=2024))/E11,0)</f>
        <v>0.42027272727272719</v>
      </c>
      <c r="G11" s="41">
        <f t="shared" si="0"/>
        <v>-6700</v>
      </c>
      <c r="H11" s="42" t="str">
        <f t="shared" si="1"/>
        <v>▼ Decline</v>
      </c>
    </row>
    <row r="12" spans="2:8" ht="19.5" customHeight="1" x14ac:dyDescent="0.3">
      <c r="B12" s="32">
        <v>9</v>
      </c>
      <c r="C12" s="33" t="s">
        <v>235</v>
      </c>
      <c r="D12" s="34">
        <f>SUMPRODUCT(('Raw Data'!G4:G153)*(MONTH('Raw Data'!C4:C153)=9)*(YEAR('Raw Data'!C4:C153)=2024))</f>
        <v>233900</v>
      </c>
      <c r="E12" s="34">
        <f>SUMPRODUCT(('Raw Data'!B4:B153&lt;&gt;"")*(MONTH('Raw Data'!C4:C153)=9)*(YEAR('Raw Data'!C4:C153)=2024))</f>
        <v>9</v>
      </c>
      <c r="F12" s="35">
        <f>IFERROR(SUMPRODUCT(('Raw Data'!J4:J153)*(MONTH('Raw Data'!C4:C153)=9)*(YEAR('Raw Data'!C4:C153)=2024))/E12,0)</f>
        <v>0.3955555555555556</v>
      </c>
      <c r="G12" s="43">
        <f t="shared" si="0"/>
        <v>-18400</v>
      </c>
      <c r="H12" s="36" t="str">
        <f t="shared" si="1"/>
        <v>▼ Decline</v>
      </c>
    </row>
    <row r="13" spans="2:8" ht="19.5" customHeight="1" x14ac:dyDescent="0.3">
      <c r="B13" s="37">
        <v>10</v>
      </c>
      <c r="C13" s="38" t="s">
        <v>236</v>
      </c>
      <c r="D13" s="39">
        <f>SUMPRODUCT(('Raw Data'!G4:G153)*(MONTH('Raw Data'!C4:C153)=10)*(YEAR('Raw Data'!C4:C153)=2024))</f>
        <v>335400</v>
      </c>
      <c r="E13" s="39">
        <f>SUMPRODUCT(('Raw Data'!B4:B153&lt;&gt;"")*(MONTH('Raw Data'!C4:C153)=10)*(YEAR('Raw Data'!C4:C153)=2024))</f>
        <v>11</v>
      </c>
      <c r="F13" s="40">
        <f>IFERROR(SUMPRODUCT(('Raw Data'!J4:J153)*(MONTH('Raw Data'!C4:C153)=10)*(YEAR('Raw Data'!C4:C153)=2024))/E13,0)</f>
        <v>0.39163636363636362</v>
      </c>
      <c r="G13" s="41">
        <f t="shared" si="0"/>
        <v>101500</v>
      </c>
      <c r="H13" s="42" t="str">
        <f t="shared" si="1"/>
        <v>▲ Growth</v>
      </c>
    </row>
    <row r="14" spans="2:8" ht="19.5" customHeight="1" x14ac:dyDescent="0.3">
      <c r="B14" s="32">
        <v>11</v>
      </c>
      <c r="C14" s="33" t="s">
        <v>237</v>
      </c>
      <c r="D14" s="34">
        <f>SUMPRODUCT(('Raw Data'!G4:G153)*(MONTH('Raw Data'!C4:C153)=11)*(YEAR('Raw Data'!C4:C153)=2024))</f>
        <v>570300</v>
      </c>
      <c r="E14" s="34">
        <f>SUMPRODUCT(('Raw Data'!B4:B153&lt;&gt;"")*(MONTH('Raw Data'!C4:C153)=11)*(YEAR('Raw Data'!C4:C153)=2024))</f>
        <v>10</v>
      </c>
      <c r="F14" s="35">
        <f>IFERROR(SUMPRODUCT(('Raw Data'!J4:J153)*(MONTH('Raw Data'!C4:C153)=11)*(YEAR('Raw Data'!C4:C153)=2024))/E14,0)</f>
        <v>0.3881</v>
      </c>
      <c r="G14" s="43">
        <f t="shared" si="0"/>
        <v>234900</v>
      </c>
      <c r="H14" s="36" t="str">
        <f t="shared" si="1"/>
        <v>▲ Growth</v>
      </c>
    </row>
    <row r="15" spans="2:8" ht="19.5" customHeight="1" x14ac:dyDescent="0.3">
      <c r="B15" s="37">
        <v>12</v>
      </c>
      <c r="C15" s="38" t="s">
        <v>238</v>
      </c>
      <c r="D15" s="39">
        <f>SUMPRODUCT(('Raw Data'!G4:G153)*(MONTH('Raw Data'!C4:C153)=12)*(YEAR('Raw Data'!C4:C153)=2024))</f>
        <v>528500</v>
      </c>
      <c r="E15" s="39">
        <f>SUMPRODUCT(('Raw Data'!B4:B153&lt;&gt;"")*(MONTH('Raw Data'!C4:C153)=12)*(YEAR('Raw Data'!C4:C153)=2024))</f>
        <v>10</v>
      </c>
      <c r="F15" s="40">
        <f>IFERROR(SUMPRODUCT(('Raw Data'!J4:J153)*(MONTH('Raw Data'!C4:C153)=12)*(YEAR('Raw Data'!C4:C153)=2024))/E15,0)</f>
        <v>0.41580000000000006</v>
      </c>
      <c r="G15" s="41">
        <f t="shared" si="0"/>
        <v>-41800</v>
      </c>
      <c r="H15" s="42" t="str">
        <f t="shared" si="1"/>
        <v>▼ Decline</v>
      </c>
    </row>
    <row r="16" spans="2:8" ht="19.5" customHeight="1" x14ac:dyDescent="0.3">
      <c r="B16" s="32">
        <v>13</v>
      </c>
      <c r="C16" s="33" t="s">
        <v>239</v>
      </c>
      <c r="D16" s="34">
        <f>SUMPRODUCT(('Raw Data'!G4:G153)*(MONTH('Raw Data'!C4:C153)=1)*(YEAR('Raw Data'!C4:C153)=2025))</f>
        <v>408000</v>
      </c>
      <c r="E16" s="34">
        <f>SUMPRODUCT(('Raw Data'!B4:B153&lt;&gt;"")*(MONTH('Raw Data'!C4:C153)=1)*(YEAR('Raw Data'!C4:C153)=2025))</f>
        <v>10</v>
      </c>
      <c r="F16" s="35">
        <f>IFERROR(SUMPRODUCT(('Raw Data'!J4:J153)*(MONTH('Raw Data'!C4:C153)=1)*(YEAR('Raw Data'!C4:C153)=2025))/E16,0)</f>
        <v>0.38289999999999991</v>
      </c>
      <c r="G16" s="43">
        <f t="shared" si="0"/>
        <v>-120500</v>
      </c>
      <c r="H16" s="36" t="str">
        <f t="shared" si="1"/>
        <v>▼ Decline</v>
      </c>
    </row>
    <row r="17" spans="2:8" ht="19.5" customHeight="1" x14ac:dyDescent="0.3">
      <c r="B17" s="37">
        <v>14</v>
      </c>
      <c r="C17" s="38" t="s">
        <v>240</v>
      </c>
      <c r="D17" s="39">
        <f>SUMPRODUCT(('Raw Data'!G4:G153)*(MONTH('Raw Data'!C4:C153)=2)*(YEAR('Raw Data'!C4:C153)=2025))</f>
        <v>355400</v>
      </c>
      <c r="E17" s="39">
        <f>SUMPRODUCT(('Raw Data'!B4:B153&lt;&gt;"")*(MONTH('Raw Data'!C4:C153)=2)*(YEAR('Raw Data'!C4:C153)=2025))</f>
        <v>10</v>
      </c>
      <c r="F17" s="40">
        <f>IFERROR(SUMPRODUCT(('Raw Data'!J4:J153)*(MONTH('Raw Data'!C4:C153)=2)*(YEAR('Raw Data'!C4:C153)=2025))/E17,0)</f>
        <v>0.42130000000000001</v>
      </c>
      <c r="G17" s="41">
        <f t="shared" si="0"/>
        <v>-52600</v>
      </c>
      <c r="H17" s="42" t="str">
        <f t="shared" si="1"/>
        <v>▼ Decline</v>
      </c>
    </row>
    <row r="18" spans="2:8" ht="19.5" customHeight="1" x14ac:dyDescent="0.3">
      <c r="B18" s="32">
        <v>15</v>
      </c>
      <c r="C18" s="33" t="s">
        <v>241</v>
      </c>
      <c r="D18" s="34">
        <f>SUMPRODUCT(('Raw Data'!G4:G153)*(MONTH('Raw Data'!C4:C153)=3)*(YEAR('Raw Data'!C4:C153)=2025))</f>
        <v>244000</v>
      </c>
      <c r="E18" s="34">
        <f>SUMPRODUCT(('Raw Data'!B4:B153&lt;&gt;"")*(MONTH('Raw Data'!C4:C153)=3)*(YEAR('Raw Data'!C4:C153)=2025))</f>
        <v>8</v>
      </c>
      <c r="F18" s="35">
        <f>IFERROR(SUMPRODUCT(('Raw Data'!J4:J153)*(MONTH('Raw Data'!C4:C153)=3)*(YEAR('Raw Data'!C4:C153)=2025))/E18,0)</f>
        <v>0.39949999999999997</v>
      </c>
      <c r="G18" s="43">
        <f t="shared" si="0"/>
        <v>-111400</v>
      </c>
      <c r="H18" s="36" t="str">
        <f t="shared" si="1"/>
        <v>▼ Decline</v>
      </c>
    </row>
    <row r="19" spans="2:8" ht="19.5" customHeight="1" x14ac:dyDescent="0.3">
      <c r="B19" s="37">
        <v>16</v>
      </c>
      <c r="C19" s="38" t="s">
        <v>242</v>
      </c>
      <c r="D19" s="39">
        <f>SUMPRODUCT(('Raw Data'!G4:G153)*(MONTH('Raw Data'!C4:C153)=4)*(YEAR('Raw Data'!C4:C153)=2025))</f>
        <v>0</v>
      </c>
      <c r="E19" s="39">
        <f>SUMPRODUCT(('Raw Data'!B4:B153&lt;&gt;"")*(MONTH('Raw Data'!C4:C153)=4)*(YEAR('Raw Data'!C4:C153)=2025))</f>
        <v>0</v>
      </c>
      <c r="F19" s="40">
        <f>IFERROR(SUMPRODUCT(('Raw Data'!J4:J153)*(MONTH('Raw Data'!C4:C153)=4)*(YEAR('Raw Data'!C4:C153)=2025))/E19,0)</f>
        <v>0</v>
      </c>
      <c r="G19" s="41">
        <f t="shared" si="0"/>
        <v>-244000</v>
      </c>
      <c r="H19" s="42" t="str">
        <f t="shared" si="1"/>
        <v>▼ Decline</v>
      </c>
    </row>
    <row r="20" spans="2:8" ht="19.5" customHeight="1" x14ac:dyDescent="0.3">
      <c r="B20" s="32">
        <v>17</v>
      </c>
      <c r="C20" s="33" t="s">
        <v>243</v>
      </c>
      <c r="D20" s="34">
        <f>SUMPRODUCT(('Raw Data'!G4:G153)*(MONTH('Raw Data'!C4:C153)=5)*(YEAR('Raw Data'!C4:C153)=2025))</f>
        <v>0</v>
      </c>
      <c r="E20" s="34">
        <f>SUMPRODUCT(('Raw Data'!B4:B153&lt;&gt;"")*(MONTH('Raw Data'!C4:C153)=5)*(YEAR('Raw Data'!C4:C153)=2025))</f>
        <v>0</v>
      </c>
      <c r="F20" s="35">
        <f>IFERROR(SUMPRODUCT(('Raw Data'!J4:J153)*(MONTH('Raw Data'!C4:C153)=5)*(YEAR('Raw Data'!C4:C153)=2025))/E20,0)</f>
        <v>0</v>
      </c>
      <c r="G20" s="43">
        <f t="shared" si="0"/>
        <v>0</v>
      </c>
      <c r="H20" s="36" t="str">
        <f t="shared" si="1"/>
        <v>▼ Decline</v>
      </c>
    </row>
    <row r="21" spans="2:8" ht="19.5" customHeight="1" x14ac:dyDescent="0.3">
      <c r="B21" s="37">
        <v>18</v>
      </c>
      <c r="C21" s="38" t="s">
        <v>244</v>
      </c>
      <c r="D21" s="39">
        <f>SUMPRODUCT(('Raw Data'!G4:G153)*(MONTH('Raw Data'!C4:C153)=6)*(YEAR('Raw Data'!C4:C153)=2025))</f>
        <v>0</v>
      </c>
      <c r="E21" s="39">
        <f>SUMPRODUCT(('Raw Data'!B4:B153&lt;&gt;"")*(MONTH('Raw Data'!C4:C153)=6)*(YEAR('Raw Data'!C4:C153)=2025))</f>
        <v>0</v>
      </c>
      <c r="F21" s="40">
        <f>IFERROR(SUMPRODUCT(('Raw Data'!J4:J153)*(MONTH('Raw Data'!C4:C153)=6)*(YEAR('Raw Data'!C4:C153)=2025))/E21,0)</f>
        <v>0</v>
      </c>
      <c r="G21" s="41">
        <f t="shared" si="0"/>
        <v>0</v>
      </c>
      <c r="H21" s="42" t="str">
        <f t="shared" si="1"/>
        <v>▼ Decline</v>
      </c>
    </row>
    <row r="22" spans="2:8" ht="21.75" customHeight="1" x14ac:dyDescent="0.3">
      <c r="B22" s="44" t="s">
        <v>245</v>
      </c>
      <c r="C22" s="44" t="s">
        <v>246</v>
      </c>
      <c r="D22" s="45">
        <f>SUM(D4:D21)</f>
        <v>5671300</v>
      </c>
      <c r="E22" s="45">
        <f>SUM(E4:E21)</f>
        <v>150</v>
      </c>
      <c r="F22" s="46">
        <f>AVERAGE(F4:F21)</f>
        <v>0.33680712682379343</v>
      </c>
    </row>
    <row r="24" spans="2:8" ht="19.5" customHeight="1" x14ac:dyDescent="0.3">
      <c r="B24" s="103" t="s">
        <v>247</v>
      </c>
      <c r="C24" s="103"/>
      <c r="D24" s="103"/>
      <c r="E24" s="103"/>
      <c r="F24" s="103"/>
      <c r="G24" s="103"/>
      <c r="H24" s="103"/>
    </row>
    <row r="25" spans="2:8" ht="21.75" customHeight="1" x14ac:dyDescent="0.3">
      <c r="B25" s="100" t="s">
        <v>248</v>
      </c>
      <c r="C25" s="100"/>
      <c r="D25" s="100"/>
      <c r="E25" s="100"/>
      <c r="F25" s="100"/>
      <c r="G25" s="100"/>
      <c r="H25" s="100"/>
    </row>
    <row r="26" spans="2:8" ht="21.75" customHeight="1" x14ac:dyDescent="0.3">
      <c r="B26" s="101" t="s">
        <v>249</v>
      </c>
      <c r="C26" s="101"/>
      <c r="D26" s="101"/>
      <c r="E26" s="101"/>
      <c r="F26" s="101"/>
      <c r="G26" s="101"/>
      <c r="H26" s="101"/>
    </row>
    <row r="27" spans="2:8" ht="21.75" customHeight="1" x14ac:dyDescent="0.3">
      <c r="B27" s="100" t="s">
        <v>250</v>
      </c>
      <c r="C27" s="100"/>
      <c r="D27" s="100"/>
      <c r="E27" s="100"/>
      <c r="F27" s="100"/>
      <c r="G27" s="100"/>
      <c r="H27" s="100"/>
    </row>
    <row r="28" spans="2:8" ht="21.75" customHeight="1" x14ac:dyDescent="0.3">
      <c r="B28" s="101" t="s">
        <v>251</v>
      </c>
      <c r="C28" s="101"/>
      <c r="D28" s="101"/>
      <c r="E28" s="101"/>
      <c r="F28" s="101"/>
      <c r="G28" s="101"/>
      <c r="H28" s="101"/>
    </row>
    <row r="29" spans="2:8" ht="21.75" customHeight="1" x14ac:dyDescent="0.3">
      <c r="B29" s="100" t="s">
        <v>252</v>
      </c>
      <c r="C29" s="100"/>
      <c r="D29" s="100"/>
      <c r="E29" s="100"/>
      <c r="F29" s="100"/>
      <c r="G29" s="100"/>
      <c r="H29" s="100"/>
    </row>
  </sheetData>
  <mergeCells count="8">
    <mergeCell ref="B27:H27"/>
    <mergeCell ref="B28:H28"/>
    <mergeCell ref="B29:H29"/>
    <mergeCell ref="B1:G1"/>
    <mergeCell ref="B2:G2"/>
    <mergeCell ref="B24:H24"/>
    <mergeCell ref="B25:H25"/>
    <mergeCell ref="B26:H26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F6000"/>
  </sheetPr>
  <dimension ref="B1:D35"/>
  <sheetViews>
    <sheetView zoomScaleNormal="100" workbookViewId="0">
      <selection activeCell="B35" sqref="B35"/>
    </sheetView>
  </sheetViews>
  <sheetFormatPr defaultColWidth="8.6640625" defaultRowHeight="14.4" x14ac:dyDescent="0.3"/>
  <cols>
    <col min="1" max="1" width="2" customWidth="1"/>
    <col min="2" max="2" width="24" customWidth="1"/>
    <col min="3" max="4" width="40" customWidth="1"/>
  </cols>
  <sheetData>
    <row r="1" spans="2:4" ht="30" customHeight="1" x14ac:dyDescent="0.3">
      <c r="B1" s="99" t="s">
        <v>253</v>
      </c>
      <c r="C1" s="99"/>
      <c r="D1" s="99"/>
    </row>
    <row r="3" spans="2:4" ht="21.75" customHeight="1" x14ac:dyDescent="0.3">
      <c r="B3" s="104" t="s">
        <v>254</v>
      </c>
      <c r="C3" s="104"/>
      <c r="D3" s="104"/>
    </row>
    <row r="4" spans="2:4" ht="18" customHeight="1" x14ac:dyDescent="0.3">
      <c r="B4" s="47" t="s">
        <v>255</v>
      </c>
      <c r="C4" s="47" t="s">
        <v>256</v>
      </c>
      <c r="D4" s="47" t="s">
        <v>257</v>
      </c>
    </row>
    <row r="5" spans="2:4" ht="48" customHeight="1" x14ac:dyDescent="0.3">
      <c r="B5" s="48" t="s">
        <v>258</v>
      </c>
      <c r="C5" s="48" t="s">
        <v>259</v>
      </c>
      <c r="D5" s="48" t="s">
        <v>260</v>
      </c>
    </row>
    <row r="6" spans="2:4" ht="48" customHeight="1" x14ac:dyDescent="0.3">
      <c r="B6" s="49" t="s">
        <v>261</v>
      </c>
      <c r="C6" s="49" t="s">
        <v>262</v>
      </c>
      <c r="D6" s="49" t="s">
        <v>263</v>
      </c>
    </row>
    <row r="7" spans="2:4" ht="48" customHeight="1" x14ac:dyDescent="0.3">
      <c r="B7" s="48" t="s">
        <v>264</v>
      </c>
      <c r="C7" s="48" t="s">
        <v>265</v>
      </c>
      <c r="D7" s="48" t="s">
        <v>266</v>
      </c>
    </row>
    <row r="8" spans="2:4" ht="48" customHeight="1" x14ac:dyDescent="0.3">
      <c r="B8" s="49" t="s">
        <v>267</v>
      </c>
      <c r="C8" s="49" t="s">
        <v>268</v>
      </c>
      <c r="D8" s="49" t="s">
        <v>269</v>
      </c>
    </row>
    <row r="9" spans="2:4" ht="48" customHeight="1" x14ac:dyDescent="0.3">
      <c r="B9" s="48" t="s">
        <v>270</v>
      </c>
      <c r="C9" s="48" t="s">
        <v>271</v>
      </c>
      <c r="D9" s="48" t="s">
        <v>272</v>
      </c>
    </row>
    <row r="10" spans="2:4" ht="48" customHeight="1" x14ac:dyDescent="0.3">
      <c r="B10" s="49" t="s">
        <v>273</v>
      </c>
      <c r="C10" s="49" t="s">
        <v>274</v>
      </c>
      <c r="D10" s="49" t="s">
        <v>275</v>
      </c>
    </row>
    <row r="13" spans="2:4" ht="21.75" customHeight="1" x14ac:dyDescent="0.3">
      <c r="B13" s="105" t="s">
        <v>276</v>
      </c>
      <c r="C13" s="105"/>
      <c r="D13" s="105"/>
    </row>
    <row r="14" spans="2:4" ht="18" customHeight="1" x14ac:dyDescent="0.3">
      <c r="B14" s="47" t="s">
        <v>277</v>
      </c>
      <c r="C14" s="47" t="s">
        <v>278</v>
      </c>
      <c r="D14" s="47" t="s">
        <v>279</v>
      </c>
    </row>
    <row r="15" spans="2:4" ht="48" customHeight="1" x14ac:dyDescent="0.3">
      <c r="B15" s="48" t="s">
        <v>280</v>
      </c>
      <c r="C15" s="48" t="s">
        <v>281</v>
      </c>
      <c r="D15" s="48" t="s">
        <v>282</v>
      </c>
    </row>
    <row r="16" spans="2:4" ht="48" customHeight="1" x14ac:dyDescent="0.3">
      <c r="B16" s="49" t="s">
        <v>283</v>
      </c>
      <c r="C16" s="49" t="s">
        <v>284</v>
      </c>
      <c r="D16" s="49" t="s">
        <v>285</v>
      </c>
    </row>
    <row r="17" spans="2:4" ht="48" customHeight="1" x14ac:dyDescent="0.3">
      <c r="B17" s="48" t="s">
        <v>286</v>
      </c>
      <c r="C17" s="48" t="s">
        <v>287</v>
      </c>
      <c r="D17" s="48" t="s">
        <v>288</v>
      </c>
    </row>
    <row r="18" spans="2:4" ht="48" customHeight="1" x14ac:dyDescent="0.3">
      <c r="B18" s="49" t="s">
        <v>289</v>
      </c>
      <c r="C18" s="49" t="s">
        <v>290</v>
      </c>
      <c r="D18" s="49" t="s">
        <v>291</v>
      </c>
    </row>
    <row r="19" spans="2:4" ht="48" customHeight="1" x14ac:dyDescent="0.3">
      <c r="B19" s="48" t="s">
        <v>292</v>
      </c>
      <c r="C19" s="48" t="s">
        <v>293</v>
      </c>
      <c r="D19" s="48" t="s">
        <v>294</v>
      </c>
    </row>
    <row r="20" spans="2:4" ht="48" customHeight="1" x14ac:dyDescent="0.3">
      <c r="B20" s="49" t="s">
        <v>295</v>
      </c>
      <c r="C20" s="49" t="s">
        <v>296</v>
      </c>
      <c r="D20" s="49" t="s">
        <v>297</v>
      </c>
    </row>
    <row r="23" spans="2:4" ht="21.75" customHeight="1" x14ac:dyDescent="0.3">
      <c r="B23" s="106" t="s">
        <v>298</v>
      </c>
      <c r="C23" s="106"/>
      <c r="D23" s="106"/>
    </row>
    <row r="24" spans="2:4" ht="18" customHeight="1" x14ac:dyDescent="0.3">
      <c r="B24" s="47" t="s">
        <v>299</v>
      </c>
      <c r="C24" s="47" t="s">
        <v>300</v>
      </c>
      <c r="D24" s="47" t="s">
        <v>301</v>
      </c>
    </row>
    <row r="25" spans="2:4" ht="48" customHeight="1" x14ac:dyDescent="0.3">
      <c r="B25" s="48" t="s">
        <v>302</v>
      </c>
      <c r="C25" s="48" t="s">
        <v>303</v>
      </c>
      <c r="D25" s="48" t="s">
        <v>304</v>
      </c>
    </row>
    <row r="26" spans="2:4" ht="48" customHeight="1" x14ac:dyDescent="0.3">
      <c r="B26" s="49" t="s">
        <v>305</v>
      </c>
      <c r="C26" s="49" t="s">
        <v>306</v>
      </c>
      <c r="D26" s="49" t="s">
        <v>307</v>
      </c>
    </row>
    <row r="27" spans="2:4" ht="48" customHeight="1" x14ac:dyDescent="0.3">
      <c r="B27" s="48" t="s">
        <v>308</v>
      </c>
      <c r="C27" s="48" t="s">
        <v>309</v>
      </c>
      <c r="D27" s="48" t="s">
        <v>310</v>
      </c>
    </row>
    <row r="28" spans="2:4" ht="48" customHeight="1" x14ac:dyDescent="0.3">
      <c r="B28" s="49" t="s">
        <v>311</v>
      </c>
      <c r="C28" s="49" t="s">
        <v>312</v>
      </c>
      <c r="D28" s="49" t="s">
        <v>313</v>
      </c>
    </row>
    <row r="31" spans="2:4" ht="21.75" customHeight="1" x14ac:dyDescent="0.3">
      <c r="B31" s="104" t="s">
        <v>314</v>
      </c>
      <c r="C31" s="104"/>
      <c r="D31" s="104"/>
    </row>
    <row r="32" spans="2:4" ht="18" customHeight="1" x14ac:dyDescent="0.3">
      <c r="B32" s="47" t="s">
        <v>315</v>
      </c>
      <c r="C32" s="47" t="s">
        <v>316</v>
      </c>
      <c r="D32" s="47" t="s">
        <v>317</v>
      </c>
    </row>
    <row r="33" spans="2:4" ht="91.2" customHeight="1" x14ac:dyDescent="0.3">
      <c r="B33" s="48" t="s">
        <v>318</v>
      </c>
      <c r="C33" s="48" t="s">
        <v>319</v>
      </c>
      <c r="D33" s="48" t="s">
        <v>320</v>
      </c>
    </row>
    <row r="34" spans="2:4" ht="91.2" customHeight="1" x14ac:dyDescent="0.3">
      <c r="B34" s="49" t="s">
        <v>321</v>
      </c>
      <c r="C34" s="49" t="s">
        <v>322</v>
      </c>
      <c r="D34" s="49" t="s">
        <v>323</v>
      </c>
    </row>
    <row r="35" spans="2:4" ht="91.2" customHeight="1" x14ac:dyDescent="0.3">
      <c r="B35" s="48" t="s">
        <v>324</v>
      </c>
      <c r="C35" s="48" t="s">
        <v>325</v>
      </c>
      <c r="D35" s="48" t="s">
        <v>326</v>
      </c>
    </row>
  </sheetData>
  <mergeCells count="5">
    <mergeCell ref="B1:D1"/>
    <mergeCell ref="B3:D3"/>
    <mergeCell ref="B13:D13"/>
    <mergeCell ref="B23:D23"/>
    <mergeCell ref="B31:D3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F6000"/>
  </sheetPr>
  <dimension ref="B1:E26"/>
  <sheetViews>
    <sheetView topLeftCell="A10" zoomScaleNormal="100" workbookViewId="0"/>
  </sheetViews>
  <sheetFormatPr defaultColWidth="8.6640625" defaultRowHeight="14.4" x14ac:dyDescent="0.3"/>
  <cols>
    <col min="1" max="1" width="2" customWidth="1"/>
    <col min="2" max="2" width="26" customWidth="1"/>
    <col min="3" max="3" width="16" customWidth="1"/>
    <col min="4" max="4" width="50" customWidth="1"/>
    <col min="5" max="5" width="8" customWidth="1"/>
  </cols>
  <sheetData>
    <row r="1" spans="2:5" ht="30" customHeight="1" x14ac:dyDescent="0.3">
      <c r="B1" s="99" t="s">
        <v>327</v>
      </c>
      <c r="C1" s="99"/>
      <c r="D1" s="99"/>
      <c r="E1" s="99"/>
    </row>
    <row r="2" spans="2:5" ht="18" customHeight="1" x14ac:dyDescent="0.3">
      <c r="B2" s="107" t="s">
        <v>328</v>
      </c>
      <c r="C2" s="107"/>
      <c r="D2" s="107"/>
      <c r="E2" s="107"/>
    </row>
    <row r="3" spans="2:5" ht="19.5" customHeight="1" x14ac:dyDescent="0.3">
      <c r="B3" s="1" t="s">
        <v>329</v>
      </c>
      <c r="C3" s="1" t="s">
        <v>330</v>
      </c>
      <c r="D3" s="1" t="s">
        <v>331</v>
      </c>
      <c r="E3" s="1" t="s">
        <v>332</v>
      </c>
    </row>
    <row r="4" spans="2:5" ht="48" customHeight="1" x14ac:dyDescent="0.3">
      <c r="B4" s="50" t="s">
        <v>333</v>
      </c>
      <c r="C4" s="51" t="s">
        <v>334</v>
      </c>
      <c r="D4" s="52" t="s">
        <v>335</v>
      </c>
      <c r="E4" s="53" t="s">
        <v>336</v>
      </c>
    </row>
    <row r="5" spans="2:5" ht="48" customHeight="1" x14ac:dyDescent="0.3">
      <c r="B5" s="54" t="s">
        <v>337</v>
      </c>
      <c r="C5" s="55" t="s">
        <v>338</v>
      </c>
      <c r="D5" s="56" t="s">
        <v>339</v>
      </c>
      <c r="E5" s="57" t="s">
        <v>340</v>
      </c>
    </row>
    <row r="6" spans="2:5" ht="48" customHeight="1" x14ac:dyDescent="0.3">
      <c r="B6" s="50" t="s">
        <v>341</v>
      </c>
      <c r="C6" s="51" t="s">
        <v>342</v>
      </c>
      <c r="D6" s="52" t="s">
        <v>343</v>
      </c>
      <c r="E6" s="53" t="s">
        <v>344</v>
      </c>
    </row>
    <row r="7" spans="2:5" ht="48" customHeight="1" x14ac:dyDescent="0.3">
      <c r="B7" s="54" t="s">
        <v>345</v>
      </c>
      <c r="C7" s="55" t="s">
        <v>346</v>
      </c>
      <c r="D7" s="56" t="s">
        <v>347</v>
      </c>
      <c r="E7" s="57" t="s">
        <v>348</v>
      </c>
    </row>
    <row r="8" spans="2:5" ht="48" customHeight="1" x14ac:dyDescent="0.3">
      <c r="B8" s="50" t="s">
        <v>349</v>
      </c>
      <c r="C8" s="51" t="s">
        <v>350</v>
      </c>
      <c r="D8" s="52" t="s">
        <v>351</v>
      </c>
      <c r="E8" s="53" t="s">
        <v>340</v>
      </c>
    </row>
    <row r="9" spans="2:5" ht="48" customHeight="1" x14ac:dyDescent="0.3">
      <c r="B9" s="54" t="s">
        <v>352</v>
      </c>
      <c r="C9" s="55" t="s">
        <v>353</v>
      </c>
      <c r="D9" s="56" t="s">
        <v>354</v>
      </c>
      <c r="E9" s="57" t="s">
        <v>340</v>
      </c>
    </row>
    <row r="10" spans="2:5" ht="48" customHeight="1" x14ac:dyDescent="0.3">
      <c r="B10" s="58" t="s">
        <v>355</v>
      </c>
      <c r="C10" s="59" t="s">
        <v>356</v>
      </c>
      <c r="D10" s="60" t="s">
        <v>357</v>
      </c>
      <c r="E10" s="61" t="s">
        <v>358</v>
      </c>
    </row>
    <row r="11" spans="2:5" ht="48" customHeight="1" x14ac:dyDescent="0.3">
      <c r="B11" s="58" t="s">
        <v>359</v>
      </c>
      <c r="C11" s="59" t="s">
        <v>360</v>
      </c>
      <c r="D11" s="60" t="s">
        <v>361</v>
      </c>
      <c r="E11" s="61" t="s">
        <v>362</v>
      </c>
    </row>
    <row r="12" spans="2:5" ht="27.75" customHeight="1" x14ac:dyDescent="0.3">
      <c r="B12" s="108" t="s">
        <v>363</v>
      </c>
      <c r="C12" s="108"/>
      <c r="D12" s="108"/>
      <c r="E12" s="62" t="s">
        <v>364</v>
      </c>
    </row>
    <row r="14" spans="2:5" ht="19.5" customHeight="1" x14ac:dyDescent="0.3">
      <c r="B14" s="95" t="s">
        <v>365</v>
      </c>
      <c r="C14" s="95"/>
      <c r="D14" s="95"/>
      <c r="E14" s="95"/>
    </row>
    <row r="15" spans="2:5" ht="21.75" customHeight="1" x14ac:dyDescent="0.3">
      <c r="B15" s="63" t="s">
        <v>366</v>
      </c>
      <c r="C15" s="63" t="s">
        <v>367</v>
      </c>
      <c r="D15" s="64" t="s">
        <v>368</v>
      </c>
      <c r="E15" s="65"/>
    </row>
    <row r="16" spans="2:5" ht="21.75" customHeight="1" x14ac:dyDescent="0.3">
      <c r="B16" s="66" t="s">
        <v>369</v>
      </c>
      <c r="C16" s="66" t="s">
        <v>370</v>
      </c>
      <c r="D16" s="67" t="s">
        <v>371</v>
      </c>
      <c r="E16" s="68"/>
    </row>
    <row r="17" spans="2:5" ht="21.75" customHeight="1" x14ac:dyDescent="0.3">
      <c r="B17" s="69" t="s">
        <v>372</v>
      </c>
      <c r="C17" s="69" t="s">
        <v>373</v>
      </c>
      <c r="D17" s="70" t="s">
        <v>374</v>
      </c>
      <c r="E17" s="71"/>
    </row>
    <row r="18" spans="2:5" ht="21.75" customHeight="1" x14ac:dyDescent="0.3">
      <c r="B18" s="72" t="s">
        <v>375</v>
      </c>
      <c r="C18" s="72" t="s">
        <v>376</v>
      </c>
      <c r="D18" s="73" t="s">
        <v>377</v>
      </c>
      <c r="E18" s="74"/>
    </row>
    <row r="20" spans="2:5" ht="21.75" customHeight="1" x14ac:dyDescent="0.3">
      <c r="B20" s="109" t="s">
        <v>378</v>
      </c>
      <c r="C20" s="109"/>
      <c r="D20" s="109"/>
      <c r="E20" s="109"/>
    </row>
    <row r="21" spans="2:5" ht="36" customHeight="1" x14ac:dyDescent="0.3">
      <c r="B21" s="111" t="s">
        <v>379</v>
      </c>
      <c r="C21" s="111"/>
      <c r="D21" s="111"/>
      <c r="E21" s="111"/>
    </row>
    <row r="22" spans="2:5" ht="36" customHeight="1" x14ac:dyDescent="0.3">
      <c r="B22" s="112" t="s">
        <v>380</v>
      </c>
      <c r="C22" s="112"/>
      <c r="D22" s="112"/>
      <c r="E22" s="112"/>
    </row>
    <row r="23" spans="2:5" ht="36" customHeight="1" x14ac:dyDescent="0.3">
      <c r="B23" s="111" t="s">
        <v>381</v>
      </c>
      <c r="C23" s="111"/>
      <c r="D23" s="111"/>
      <c r="E23" s="111"/>
    </row>
    <row r="24" spans="2:5" ht="36" customHeight="1" x14ac:dyDescent="0.3">
      <c r="B24" s="112" t="s">
        <v>382</v>
      </c>
      <c r="C24" s="112"/>
      <c r="D24" s="112"/>
      <c r="E24" s="112"/>
    </row>
    <row r="25" spans="2:5" ht="36" customHeight="1" x14ac:dyDescent="0.3">
      <c r="B25" s="111" t="s">
        <v>383</v>
      </c>
      <c r="C25" s="111"/>
      <c r="D25" s="111"/>
      <c r="E25" s="111"/>
    </row>
    <row r="26" spans="2:5" ht="36" customHeight="1" x14ac:dyDescent="0.3">
      <c r="B26" s="110" t="s">
        <v>384</v>
      </c>
      <c r="C26" s="110"/>
      <c r="D26" s="110"/>
      <c r="E26" s="110"/>
    </row>
  </sheetData>
  <mergeCells count="11">
    <mergeCell ref="B26:E26"/>
    <mergeCell ref="B21:E21"/>
    <mergeCell ref="B22:E22"/>
    <mergeCell ref="B23:E23"/>
    <mergeCell ref="B24:E24"/>
    <mergeCell ref="B25:E25"/>
    <mergeCell ref="B1:E1"/>
    <mergeCell ref="B2:E2"/>
    <mergeCell ref="B12:D12"/>
    <mergeCell ref="B14:E14"/>
    <mergeCell ref="B20:E2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Raw Data</vt:lpstr>
      <vt:lpstr>Dashboard (Your Work)</vt:lpstr>
      <vt:lpstr>Monthly Summary</vt:lpstr>
      <vt:lpstr>Concept Notes</vt:lpstr>
      <vt:lpstr>Scoring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Deepanshu Garg</cp:lastModifiedBy>
  <cp:revision>0</cp:revision>
  <dcterms:created xsi:type="dcterms:W3CDTF">2026-04-02T14:22:16Z</dcterms:created>
  <dcterms:modified xsi:type="dcterms:W3CDTF">2026-04-03T06:03:52Z</dcterms:modified>
  <dc:language>en-US</dc:language>
</cp:coreProperties>
</file>